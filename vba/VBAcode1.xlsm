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eference_copying" sheetId="1" r:id="rId1"/>
  </sheets>
  <calcPr calcId="124519" fullCalcOnLoad="1"/>
</workbook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H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3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72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<sst xmlns="http://schemas.openxmlformats.org/spreadsheetml/2006/main" count="537" uniqueCount="24">
  <si>
    <t>Status</t>
  </si>
  <si>
    <t>Reference Number (R)</t>
  </si>
  <si>
    <t>Copy (R)</t>
  </si>
  <si>
    <t>Reference Type</t>
  </si>
  <si>
    <t>Device</t>
  </si>
  <si>
    <t>Stretch Device</t>
  </si>
  <si>
    <t>Focus Height</t>
  </si>
  <si>
    <t>Dependent On (R)</t>
  </si>
  <si>
    <t>Wire Count S</t>
  </si>
  <si>
    <t>Wire Count D</t>
  </si>
  <si>
    <t>Wire New Count D</t>
  </si>
  <si>
    <t>Warning</t>
  </si>
  <si>
    <t>Wire Count</t>
  </si>
  <si>
    <t>XML: D:/Elton Bear/Desktop/N9041-63050d1_rev1.xml</t>
  </si>
  <si>
    <t>Pseudo Reference (R)</t>
  </si>
  <si>
    <t>Count</t>
  </si>
  <si>
    <t>A</t>
  </si>
  <si>
    <t>B</t>
  </si>
  <si>
    <t>existing</t>
  </si>
  <si>
    <t>BLOCKED</t>
  </si>
  <si>
    <t>Default</t>
  </si>
  <si>
    <t>missing</t>
  </si>
  <si>
    <t>3</t>
  </si>
  <si>
    <t>appending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</si>
</sst>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C7CE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2CDDC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2CDD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4" borderId="0" xfId="0" applyFont="1" applyFill="1" applyAlignment="1" applyProtection="1">
      <alignment horizontal="center" vertical="center"/>
      <protection hidden="1"/>
    </xf>
    <xf numFmtId="0" fontId="6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7" fillId="5" borderId="2" xfId="0" applyFont="1" applyFill="1" applyBorder="1" applyProtection="1">
      <protection hidden="1"/>
    </xf>
    <xf numFmtId="0" fontId="0" fillId="5" borderId="2" xfId="0" applyFill="1" applyBorder="1" applyAlignment="1" applyProtection="1">
      <alignment horizontal="center" vertical="center"/>
      <protection hidden="1"/>
    </xf>
    <xf numFmtId="0" fontId="0" fillId="5" borderId="2" xfId="0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7" borderId="2" xfId="0" applyFill="1" applyBorder="1" applyAlignment="1" applyProtection="1">
      <alignment horizontal="center" vertical="center"/>
      <protection locked="0"/>
    </xf>
    <xf numFmtId="0" fontId="9" fillId="7" borderId="2" xfId="0" applyFont="1" applyFill="1" applyBorder="1" applyProtection="1">
      <protection hidden="1"/>
    </xf>
    <xf numFmtId="0" fontId="0" fillId="7" borderId="2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72"/>
  <sheetViews>
    <sheetView tabSelected="1" workbookViewId="0"/>
  </sheetViews>
  <sheetFormatPr defaultRowHeight="15"/>
  <cols>
    <col min="1" max="1" width="9.7109375" customWidth="1"/>
    <col min="2" max="2" width="20.7109375" customWidth="1"/>
    <col min="4" max="4" width="14.7109375" customWidth="1"/>
    <col min="5" max="5" width="10.7109375" customWidth="1"/>
    <col min="6" max="6" width="12.7109375" customWidth="1"/>
    <col min="7" max="7" width="12.7109375" customWidth="1"/>
    <col min="8" max="8" width="17.7109375" customWidth="1"/>
    <col min="9" max="9" width="12.7109375" customWidth="1"/>
    <col min="10" max="10" width="12.7109375" customWidth="1"/>
    <col min="11" max="11" width="16.7109375" customWidth="1"/>
    <col min="12" max="12" width="10.7109375" customWidth="1"/>
    <col min="13" max="13" width="5.7109375" customWidth="1"/>
    <col min="16" max="16" width="18.7109375" customWidth="1"/>
    <col min="17" max="17" width="19.7109375" customWidth="1"/>
    <col min="18" max="18" width="6.7109375" customWidth="1"/>
    <col min="19" max="20" width="12.7109375" customWidth="1"/>
  </cols>
  <sheetData>
    <row r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>
        <v>171</v>
      </c>
      <c r="Q1" t="s">
        <v>13</v>
      </c>
      <c r="U1" s="3">
        <v>1</v>
      </c>
      <c r="V1" s="3">
        <v>1</v>
      </c>
      <c r="W1" s="3">
        <v>1</v>
      </c>
    </row>
    <row r="2" spans="1:23">
      <c r="A2" s="3" t="s">
        <v>18</v>
      </c>
      <c r="B2" s="4">
        <v>1</v>
      </c>
      <c r="C2" s="5" t="s">
        <v>19</v>
      </c>
      <c r="D2" s="6" t="s">
        <v>20</v>
      </c>
      <c r="E2" s="6"/>
      <c r="F2" s="7">
        <v>0</v>
      </c>
      <c r="G2" s="6"/>
      <c r="H2" s="4"/>
      <c r="I2" s="8">
        <f>IF(COUNTIF(Q7:Q8, 1) &gt; 0, 0 + INDIRECT("S" &amp; MATCH(1, Q7:Q8, 0) + 6), 0)</f>
        <v>0</v>
      </c>
      <c r="J2" s="8">
        <f>IF(COUNTIF(Q7:Q8, 1) &gt; 0, 0 + INDIRECT("T" &amp; MATCH(1, Q7:Q8, 0) + 6), 0)</f>
        <v>0</v>
      </c>
      <c r="K2" s="8">
        <f>IF(COUNTIF(C2:C233, 1) &gt; 0, 0, IF(COUNTIF(Q7:Q8, 1) &gt; 0, 0 + INDIRECT("T" &amp; MATCH(1, Q7:Q8, 0) + 6), 0))</f>
        <v>0</v>
      </c>
      <c r="L2" s="9">
        <f>IF(OR(I2=0,K2=0), "good","check")</f>
        <v>0</v>
      </c>
      <c r="M2" s="3">
        <v>172</v>
      </c>
      <c r="U2" s="3">
        <v>3</v>
      </c>
    </row>
    <row r="3" spans="1:23">
      <c r="A3" s="10" t="s">
        <v>21</v>
      </c>
      <c r="B3" s="10">
        <v>2</v>
      </c>
      <c r="C3" s="11"/>
      <c r="D3" s="11"/>
      <c r="E3" s="11"/>
      <c r="F3" s="12">
        <v>0</v>
      </c>
      <c r="G3" s="11"/>
      <c r="H3" s="13">
        <f>C3</f>
        <v>0</v>
      </c>
      <c r="I3" s="14">
        <v>0</v>
      </c>
      <c r="J3" s="14">
        <v>0</v>
      </c>
      <c r="K3" s="13">
        <f>IF(ISBLANK(C3), 0, INDIRECT("J"&amp; C3+1))</f>
        <v>0</v>
      </c>
      <c r="L3" s="9">
        <f>IF(OR(I3=0,K3=0), "good","check")</f>
        <v>0</v>
      </c>
      <c r="M3" s="3">
        <v>172</v>
      </c>
      <c r="Q3" s="4" t="s">
        <v>12</v>
      </c>
      <c r="U3" s="3">
        <v>5</v>
      </c>
    </row>
    <row r="4" spans="1:23">
      <c r="A4" s="3" t="s">
        <v>18</v>
      </c>
      <c r="B4" s="4">
        <v>3</v>
      </c>
      <c r="C4" s="5" t="s">
        <v>19</v>
      </c>
      <c r="D4" s="6" t="s">
        <v>20</v>
      </c>
      <c r="E4" s="6"/>
      <c r="F4" s="7">
        <v>0</v>
      </c>
      <c r="G4" s="6"/>
      <c r="H4" s="4"/>
      <c r="I4" s="8">
        <f>IF(COUNTIF(Q7:Q8, 3) &gt; 0, 0 + INDIRECT("S" &amp; MATCH(3, Q7:Q8, 0) + 6), 0)</f>
        <v>0</v>
      </c>
      <c r="J4" s="8">
        <f>IF(COUNTIF(Q7:Q8, 3) &gt; 0, 14 + INDIRECT("T" &amp; MATCH(3, Q7:Q8, 0) + 6), 14)</f>
        <v>0</v>
      </c>
      <c r="K4" s="8">
        <f>IF(COUNTIF(C2:C233, 3) &gt; 0, 0, IF(COUNTIF(Q7:Q8, 3) &gt; 0, 14 + INDIRECT("T" &amp; MATCH(3, Q7:Q8, 0) + 6), 14))</f>
        <v>0</v>
      </c>
      <c r="L4" s="9">
        <f>IF(OR(I4=0,K4=0), "good","check")</f>
        <v>0</v>
      </c>
      <c r="M4" s="3">
        <v>233</v>
      </c>
      <c r="Q4" s="4">
        <v>261</v>
      </c>
      <c r="U4" s="3">
        <v>6</v>
      </c>
    </row>
    <row r="5" spans="1:23">
      <c r="A5" s="10" t="s">
        <v>21</v>
      </c>
      <c r="B5" s="10">
        <v>4</v>
      </c>
      <c r="C5" s="11"/>
      <c r="D5" s="11"/>
      <c r="E5" s="11"/>
      <c r="F5" s="12">
        <v>0</v>
      </c>
      <c r="G5" s="11"/>
      <c r="H5" s="13">
        <f>C5</f>
        <v>0</v>
      </c>
      <c r="I5" s="14">
        <v>0</v>
      </c>
      <c r="J5" s="14">
        <v>0</v>
      </c>
      <c r="K5" s="13">
        <f>IF(ISBLANK(C5), 0, INDIRECT("J"&amp; C5+1))</f>
        <v>0</v>
      </c>
      <c r="L5" s="9">
        <f>IF(OR(I5=0,K5=0), "good","check")</f>
        <v>0</v>
      </c>
      <c r="U5" s="3">
        <v>7</v>
      </c>
    </row>
    <row r="6" spans="1:23">
      <c r="A6" s="3" t="s">
        <v>18</v>
      </c>
      <c r="B6" s="4">
        <v>5</v>
      </c>
      <c r="C6" s="5" t="s">
        <v>19</v>
      </c>
      <c r="D6" s="6" t="s">
        <v>20</v>
      </c>
      <c r="E6" s="6"/>
      <c r="F6" s="7">
        <v>0</v>
      </c>
      <c r="G6" s="6"/>
      <c r="H6" s="4"/>
      <c r="I6" s="8">
        <f>IF(COUNTIF(Q7:Q8, 5) &gt; 0, 6 + INDIRECT("S" &amp; MATCH(5, Q7:Q8, 0) + 6), 6)</f>
        <v>0</v>
      </c>
      <c r="J6" s="8">
        <f>IF(COUNTIF(Q7:Q8, 5) &gt; 0, 0 + INDIRECT("T" &amp; MATCH(5, Q7:Q8, 0) + 6), 0)</f>
        <v>0</v>
      </c>
      <c r="K6" s="8">
        <f>IF(COUNTIF(C2:C233, 5) &gt; 0, 0, IF(COUNTIF(Q7:Q8, 5) &gt; 0, 0 + INDIRECT("T" &amp; MATCH(5, Q7:Q8, 0) + 6), 0))</f>
        <v>0</v>
      </c>
      <c r="L6" s="9">
        <f>IF(OR(I6=0,K6=0), "good","check")</f>
        <v>0</v>
      </c>
      <c r="P6" s="2" t="s">
        <v>14</v>
      </c>
      <c r="Q6" s="2" t="s">
        <v>1</v>
      </c>
      <c r="R6" s="2" t="s">
        <v>15</v>
      </c>
      <c r="S6" s="2" t="s">
        <v>8</v>
      </c>
      <c r="T6" s="2" t="s">
        <v>9</v>
      </c>
      <c r="U6" s="3">
        <v>8</v>
      </c>
    </row>
    <row r="7" spans="1:23">
      <c r="A7" s="3" t="s">
        <v>18</v>
      </c>
      <c r="B7" s="4">
        <v>6</v>
      </c>
      <c r="C7" s="5" t="s">
        <v>19</v>
      </c>
      <c r="D7" s="6" t="s">
        <v>20</v>
      </c>
      <c r="E7" s="6"/>
      <c r="F7" s="7">
        <v>0</v>
      </c>
      <c r="G7" s="6"/>
      <c r="H7" s="4" t="s">
        <v>22</v>
      </c>
      <c r="I7" s="8">
        <f>IF(COUNTIF(Q7:Q8, 6) &gt; 0, 2 + INDIRECT("S" &amp; MATCH(6, Q7:Q8, 0) + 6), 2)</f>
        <v>0</v>
      </c>
      <c r="J7" s="8">
        <f>IF(COUNTIF(Q7:Q8, 6) &gt; 0, 0 + INDIRECT("T" &amp; MATCH(6, Q7:Q8, 0) + 6), 0)</f>
        <v>0</v>
      </c>
      <c r="K7" s="8">
        <f>IF(COUNTIF(C2:C233, 6) &gt; 0, 0, IF(COUNTIF(Q7:Q8, 6) &gt; 0, 0 + INDIRECT("T" &amp; MATCH(6, Q7:Q8, 0) + 6), 0))</f>
        <v>0</v>
      </c>
      <c r="L7" s="9">
        <f>IF(OR(I7=0,K7=0), "good","check")</f>
        <v>0</v>
      </c>
      <c r="P7" s="15" t="s">
        <v>16</v>
      </c>
      <c r="Q7" s="6"/>
      <c r="R7" s="16">
        <v>27</v>
      </c>
      <c r="S7" s="16">
        <v>0</v>
      </c>
      <c r="T7" s="16">
        <v>36</v>
      </c>
      <c r="U7" s="3">
        <v>9</v>
      </c>
    </row>
    <row r="8" spans="1:23">
      <c r="A8" s="3" t="s">
        <v>18</v>
      </c>
      <c r="B8" s="4">
        <v>7</v>
      </c>
      <c r="C8" s="5" t="s">
        <v>19</v>
      </c>
      <c r="D8" s="6" t="s">
        <v>20</v>
      </c>
      <c r="E8" s="6"/>
      <c r="F8" s="7">
        <v>0</v>
      </c>
      <c r="G8" s="6"/>
      <c r="H8" s="4" t="s">
        <v>22</v>
      </c>
      <c r="I8" s="8">
        <f>IF(COUNTIF(Q7:Q8, 7) &gt; 0, 5 + INDIRECT("S" &amp; MATCH(7, Q7:Q8, 0) + 6), 5)</f>
        <v>0</v>
      </c>
      <c r="J8" s="8">
        <f>IF(COUNTIF(Q7:Q8, 7) &gt; 0, 4 + INDIRECT("T" &amp; MATCH(7, Q7:Q8, 0) + 6), 4)</f>
        <v>0</v>
      </c>
      <c r="K8" s="8">
        <f>IF(COUNTIF(C2:C233, 7) &gt; 0, 0, IF(COUNTIF(Q7:Q8, 7) &gt; 0, 4 + INDIRECT("T" &amp; MATCH(7, Q7:Q8, 0) + 6), 4))</f>
        <v>0</v>
      </c>
      <c r="L8" s="9">
        <f>IF(OR(I8=0,K8=0), "good","check")</f>
        <v>0</v>
      </c>
      <c r="P8" s="15" t="s">
        <v>17</v>
      </c>
      <c r="Q8" s="6"/>
      <c r="R8" s="16">
        <v>5</v>
      </c>
      <c r="S8" s="16">
        <v>5</v>
      </c>
      <c r="T8" s="16">
        <v>10</v>
      </c>
      <c r="U8" s="3">
        <v>10</v>
      </c>
    </row>
    <row r="9" spans="1:23">
      <c r="A9" s="3" t="s">
        <v>18</v>
      </c>
      <c r="B9" s="4">
        <v>8</v>
      </c>
      <c r="C9" s="5" t="s">
        <v>19</v>
      </c>
      <c r="D9" s="6" t="s">
        <v>20</v>
      </c>
      <c r="E9" s="6"/>
      <c r="F9" s="7">
        <v>0</v>
      </c>
      <c r="G9" s="6"/>
      <c r="H9" s="4" t="s">
        <v>22</v>
      </c>
      <c r="I9" s="8">
        <f>IF(COUNTIF(Q7:Q8, 8) &gt; 0, 2 + INDIRECT("S" &amp; MATCH(8, Q7:Q8, 0) + 6), 2)</f>
        <v>0</v>
      </c>
      <c r="J9" s="8">
        <f>IF(COUNTIF(Q7:Q8, 8) &gt; 0, 0 + INDIRECT("T" &amp; MATCH(8, Q7:Q8, 0) + 6), 0)</f>
        <v>0</v>
      </c>
      <c r="K9" s="8">
        <f>IF(COUNTIF(C2:C233, 8) &gt; 0, 0, IF(COUNTIF(Q7:Q8, 8) &gt; 0, 0 + INDIRECT("T" &amp; MATCH(8, Q7:Q8, 0) + 6), 0))</f>
        <v>0</v>
      </c>
      <c r="L9" s="9">
        <f>IF(OR(I9=0,K9=0), "good","check")</f>
        <v>0</v>
      </c>
      <c r="U9" s="3">
        <v>11</v>
      </c>
    </row>
    <row r="10" spans="1:23">
      <c r="A10" s="3" t="s">
        <v>18</v>
      </c>
      <c r="B10" s="4">
        <v>9</v>
      </c>
      <c r="C10" s="5" t="s">
        <v>19</v>
      </c>
      <c r="D10" s="6" t="s">
        <v>20</v>
      </c>
      <c r="E10" s="6"/>
      <c r="F10" s="7">
        <v>0</v>
      </c>
      <c r="G10" s="6"/>
      <c r="H10" s="4" t="s">
        <v>22</v>
      </c>
      <c r="I10" s="8">
        <f>IF(COUNTIF(Q7:Q8, 9) &gt; 0, 4 + INDIRECT("S" &amp; MATCH(9, Q7:Q8, 0) + 6), 4)</f>
        <v>0</v>
      </c>
      <c r="J10" s="8">
        <f>IF(COUNTIF(Q7:Q8, 9) &gt; 0, 0 + INDIRECT("T" &amp; MATCH(9, Q7:Q8, 0) + 6), 0)</f>
        <v>0</v>
      </c>
      <c r="K10" s="8">
        <f>IF(COUNTIF(C2:C233, 9) &gt; 0, 0, IF(COUNTIF(Q7:Q8, 9) &gt; 0, 0 + INDIRECT("T" &amp; MATCH(9, Q7:Q8, 0) + 6), 0))</f>
        <v>0</v>
      </c>
      <c r="L10" s="9">
        <f>IF(OR(I10=0,K10=0), "good","check")</f>
        <v>0</v>
      </c>
      <c r="U10" s="3">
        <v>12</v>
      </c>
    </row>
    <row r="11" spans="1:23">
      <c r="A11" s="3" t="s">
        <v>18</v>
      </c>
      <c r="B11" s="4">
        <v>10</v>
      </c>
      <c r="C11" s="5" t="s">
        <v>19</v>
      </c>
      <c r="D11" s="6" t="s">
        <v>20</v>
      </c>
      <c r="E11" s="6"/>
      <c r="F11" s="7">
        <v>0</v>
      </c>
      <c r="G11" s="6"/>
      <c r="H11" s="4" t="s">
        <v>22</v>
      </c>
      <c r="I11" s="8">
        <f>IF(COUNTIF(Q7:Q8, 10) &gt; 0, 2 + INDIRECT("S" &amp; MATCH(10, Q7:Q8, 0) + 6), 2)</f>
        <v>0</v>
      </c>
      <c r="J11" s="8">
        <f>IF(COUNTIF(Q7:Q8, 10) &gt; 0, 2 + INDIRECT("T" &amp; MATCH(10, Q7:Q8, 0) + 6), 2)</f>
        <v>0</v>
      </c>
      <c r="K11" s="8">
        <f>IF(COUNTIF(C2:C233, 10) &gt; 0, 0, IF(COUNTIF(Q7:Q8, 10) &gt; 0, 2 + INDIRECT("T" &amp; MATCH(10, Q7:Q8, 0) + 6), 2))</f>
        <v>0</v>
      </c>
      <c r="L11" s="9">
        <f>IF(OR(I11=0,K11=0), "good","check")</f>
        <v>0</v>
      </c>
      <c r="U11" s="3">
        <v>13</v>
      </c>
    </row>
    <row r="12" spans="1:23">
      <c r="A12" s="3" t="s">
        <v>18</v>
      </c>
      <c r="B12" s="4">
        <v>11</v>
      </c>
      <c r="C12" s="5" t="s">
        <v>19</v>
      </c>
      <c r="D12" s="6" t="s">
        <v>20</v>
      </c>
      <c r="E12" s="6"/>
      <c r="F12" s="7">
        <v>0</v>
      </c>
      <c r="G12" s="6"/>
      <c r="H12" s="4" t="s">
        <v>22</v>
      </c>
      <c r="I12" s="8">
        <f>IF(COUNTIF(Q7:Q8, 11) &gt; 0, 2 + INDIRECT("S" &amp; MATCH(11, Q7:Q8, 0) + 6), 2)</f>
        <v>0</v>
      </c>
      <c r="J12" s="8">
        <f>IF(COUNTIF(Q7:Q8, 11) &gt; 0, 0 + INDIRECT("T" &amp; MATCH(11, Q7:Q8, 0) + 6), 0)</f>
        <v>0</v>
      </c>
      <c r="K12" s="8">
        <f>IF(COUNTIF(C2:C233, 11) &gt; 0, 0, IF(COUNTIF(Q7:Q8, 11) &gt; 0, 0 + INDIRECT("T" &amp; MATCH(11, Q7:Q8, 0) + 6), 0))</f>
        <v>0</v>
      </c>
      <c r="L12" s="9">
        <f>IF(OR(I12=0,K12=0), "good","check")</f>
        <v>0</v>
      </c>
      <c r="U12" s="3">
        <v>14</v>
      </c>
    </row>
    <row r="13" spans="1:23">
      <c r="A13" s="3" t="s">
        <v>18</v>
      </c>
      <c r="B13" s="4">
        <v>12</v>
      </c>
      <c r="C13" s="5" t="s">
        <v>19</v>
      </c>
      <c r="D13" s="6" t="s">
        <v>20</v>
      </c>
      <c r="E13" s="6"/>
      <c r="F13" s="7">
        <v>0</v>
      </c>
      <c r="G13" s="6"/>
      <c r="H13" s="4" t="s">
        <v>22</v>
      </c>
      <c r="I13" s="8">
        <f>IF(COUNTIF(Q7:Q8, 12) &gt; 0, 4 + INDIRECT("S" &amp; MATCH(12, Q7:Q8, 0) + 6), 4)</f>
        <v>0</v>
      </c>
      <c r="J13" s="8">
        <f>IF(COUNTIF(Q7:Q8, 12) &gt; 0, 0 + INDIRECT("T" &amp; MATCH(12, Q7:Q8, 0) + 6), 0)</f>
        <v>0</v>
      </c>
      <c r="K13" s="8">
        <f>IF(COUNTIF(C2:C233, 12) &gt; 0, 0, IF(COUNTIF(Q7:Q8, 12) &gt; 0, 0 + INDIRECT("T" &amp; MATCH(12, Q7:Q8, 0) + 6), 0))</f>
        <v>0</v>
      </c>
      <c r="L13" s="9">
        <f>IF(OR(I13=0,K13=0), "good","check")</f>
        <v>0</v>
      </c>
      <c r="U13" s="3">
        <v>15</v>
      </c>
    </row>
    <row r="14" spans="1:23">
      <c r="A14" s="3" t="s">
        <v>18</v>
      </c>
      <c r="B14" s="4">
        <v>13</v>
      </c>
      <c r="C14" s="5" t="s">
        <v>19</v>
      </c>
      <c r="D14" s="6" t="s">
        <v>20</v>
      </c>
      <c r="E14" s="6"/>
      <c r="F14" s="7">
        <v>0</v>
      </c>
      <c r="G14" s="6"/>
      <c r="H14" s="4" t="s">
        <v>22</v>
      </c>
      <c r="I14" s="8">
        <f>IF(COUNTIF(Q7:Q8, 13) &gt; 0, 3 + INDIRECT("S" &amp; MATCH(13, Q7:Q8, 0) + 6), 3)</f>
        <v>0</v>
      </c>
      <c r="J14" s="8">
        <f>IF(COUNTIF(Q7:Q8, 13) &gt; 0, 2 + INDIRECT("T" &amp; MATCH(13, Q7:Q8, 0) + 6), 2)</f>
        <v>0</v>
      </c>
      <c r="K14" s="8">
        <f>IF(COUNTIF(C2:C233, 13) &gt; 0, 0, IF(COUNTIF(Q7:Q8, 13) &gt; 0, 2 + INDIRECT("T" &amp; MATCH(13, Q7:Q8, 0) + 6), 2))</f>
        <v>0</v>
      </c>
      <c r="L14" s="9">
        <f>IF(OR(I14=0,K14=0), "good","check")</f>
        <v>0</v>
      </c>
      <c r="U14" s="3">
        <v>16</v>
      </c>
    </row>
    <row r="15" spans="1:23">
      <c r="A15" s="3" t="s">
        <v>18</v>
      </c>
      <c r="B15" s="4">
        <v>14</v>
      </c>
      <c r="C15" s="5" t="s">
        <v>19</v>
      </c>
      <c r="D15" s="6" t="s">
        <v>20</v>
      </c>
      <c r="E15" s="6"/>
      <c r="F15" s="7">
        <v>0</v>
      </c>
      <c r="G15" s="6"/>
      <c r="H15" s="4" t="s">
        <v>22</v>
      </c>
      <c r="I15" s="8">
        <f>IF(COUNTIF(Q7:Q8, 14) &gt; 0, 4 + INDIRECT("S" &amp; MATCH(14, Q7:Q8, 0) + 6), 4)</f>
        <v>0</v>
      </c>
      <c r="J15" s="8">
        <f>IF(COUNTIF(Q7:Q8, 14) &gt; 0, 2 + INDIRECT("T" &amp; MATCH(14, Q7:Q8, 0) + 6), 2)</f>
        <v>0</v>
      </c>
      <c r="K15" s="8">
        <f>IF(COUNTIF(C2:C233, 14) &gt; 0, 0, IF(COUNTIF(Q7:Q8, 14) &gt; 0, 2 + INDIRECT("T" &amp; MATCH(14, Q7:Q8, 0) + 6), 2))</f>
        <v>0</v>
      </c>
      <c r="L15" s="9">
        <f>IF(OR(I15=0,K15=0), "good","check")</f>
        <v>0</v>
      </c>
      <c r="U15" s="3">
        <v>17</v>
      </c>
    </row>
    <row r="16" spans="1:23">
      <c r="A16" s="3" t="s">
        <v>18</v>
      </c>
      <c r="B16" s="4">
        <v>15</v>
      </c>
      <c r="C16" s="5" t="s">
        <v>19</v>
      </c>
      <c r="D16" s="6" t="s">
        <v>20</v>
      </c>
      <c r="E16" s="6"/>
      <c r="F16" s="7">
        <v>0</v>
      </c>
      <c r="G16" s="6"/>
      <c r="H16" s="4" t="s">
        <v>22</v>
      </c>
      <c r="I16" s="8">
        <f>IF(COUNTIF(Q7:Q8, 15) &gt; 0, 3 + INDIRECT("S" &amp; MATCH(15, Q7:Q8, 0) + 6), 3)</f>
        <v>0</v>
      </c>
      <c r="J16" s="8">
        <f>IF(COUNTIF(Q7:Q8, 15) &gt; 0, 2 + INDIRECT("T" &amp; MATCH(15, Q7:Q8, 0) + 6), 2)</f>
        <v>0</v>
      </c>
      <c r="K16" s="8">
        <f>IF(COUNTIF(C2:C233, 15) &gt; 0, 0, IF(COUNTIF(Q7:Q8, 15) &gt; 0, 2 + INDIRECT("T" &amp; MATCH(15, Q7:Q8, 0) + 6), 2))</f>
        <v>0</v>
      </c>
      <c r="L16" s="9">
        <f>IF(OR(I16=0,K16=0), "good","check")</f>
        <v>0</v>
      </c>
      <c r="U16" s="3">
        <v>18</v>
      </c>
    </row>
    <row r="17" spans="1:21">
      <c r="A17" s="3" t="s">
        <v>18</v>
      </c>
      <c r="B17" s="4">
        <v>16</v>
      </c>
      <c r="C17" s="5" t="s">
        <v>19</v>
      </c>
      <c r="D17" s="6" t="s">
        <v>20</v>
      </c>
      <c r="E17" s="6"/>
      <c r="F17" s="7">
        <v>0</v>
      </c>
      <c r="G17" s="6"/>
      <c r="H17" s="4" t="s">
        <v>22</v>
      </c>
      <c r="I17" s="8">
        <f>IF(COUNTIF(Q7:Q8, 16) &gt; 0, 6 + INDIRECT("S" &amp; MATCH(16, Q7:Q8, 0) + 6), 6)</f>
        <v>0</v>
      </c>
      <c r="J17" s="8">
        <f>IF(COUNTIF(Q7:Q8, 16) &gt; 0, 0 + INDIRECT("T" &amp; MATCH(16, Q7:Q8, 0) + 6), 0)</f>
        <v>0</v>
      </c>
      <c r="K17" s="8">
        <f>IF(COUNTIF(C2:C233, 16) &gt; 0, 0, IF(COUNTIF(Q7:Q8, 16) &gt; 0, 0 + INDIRECT("T" &amp; MATCH(16, Q7:Q8, 0) + 6), 0))</f>
        <v>0</v>
      </c>
      <c r="L17" s="9">
        <f>IF(OR(I17=0,K17=0), "good","check")</f>
        <v>0</v>
      </c>
      <c r="U17" s="3">
        <v>19</v>
      </c>
    </row>
    <row r="18" spans="1:21">
      <c r="A18" s="3" t="s">
        <v>18</v>
      </c>
      <c r="B18" s="4">
        <v>17</v>
      </c>
      <c r="C18" s="5" t="s">
        <v>19</v>
      </c>
      <c r="D18" s="6" t="s">
        <v>20</v>
      </c>
      <c r="E18" s="6"/>
      <c r="F18" s="7">
        <v>0</v>
      </c>
      <c r="G18" s="6"/>
      <c r="H18" s="4" t="s">
        <v>22</v>
      </c>
      <c r="I18" s="8">
        <f>IF(COUNTIF(Q7:Q8, 17) &gt; 0, 2 + INDIRECT("S" &amp; MATCH(17, Q7:Q8, 0) + 6), 2)</f>
        <v>0</v>
      </c>
      <c r="J18" s="8">
        <f>IF(COUNTIF(Q7:Q8, 17) &gt; 0, 2 + INDIRECT("T" &amp; MATCH(17, Q7:Q8, 0) + 6), 2)</f>
        <v>0</v>
      </c>
      <c r="K18" s="8">
        <f>IF(COUNTIF(C2:C233, 17) &gt; 0, 0, IF(COUNTIF(Q7:Q8, 17) &gt; 0, 2 + INDIRECT("T" &amp; MATCH(17, Q7:Q8, 0) + 6), 2))</f>
        <v>0</v>
      </c>
      <c r="L18" s="9">
        <f>IF(OR(I18=0,K18=0), "good","check")</f>
        <v>0</v>
      </c>
      <c r="U18" s="3">
        <v>20</v>
      </c>
    </row>
    <row r="19" spans="1:21">
      <c r="A19" s="3" t="s">
        <v>18</v>
      </c>
      <c r="B19" s="4">
        <v>18</v>
      </c>
      <c r="C19" s="5" t="s">
        <v>19</v>
      </c>
      <c r="D19" s="6" t="s">
        <v>20</v>
      </c>
      <c r="E19" s="6"/>
      <c r="F19" s="7">
        <v>0</v>
      </c>
      <c r="G19" s="6"/>
      <c r="H19" s="4" t="s">
        <v>22</v>
      </c>
      <c r="I19" s="8">
        <f>IF(COUNTIF(Q7:Q8, 18) &gt; 0, 4 + INDIRECT("S" &amp; MATCH(18, Q7:Q8, 0) + 6), 4)</f>
        <v>0</v>
      </c>
      <c r="J19" s="8">
        <f>IF(COUNTIF(Q7:Q8, 18) &gt; 0, 0 + INDIRECT("T" &amp; MATCH(18, Q7:Q8, 0) + 6), 0)</f>
        <v>0</v>
      </c>
      <c r="K19" s="8">
        <f>IF(COUNTIF(C2:C233, 18) &gt; 0, 0, IF(COUNTIF(Q7:Q8, 18) &gt; 0, 0 + INDIRECT("T" &amp; MATCH(18, Q7:Q8, 0) + 6), 0))</f>
        <v>0</v>
      </c>
      <c r="L19" s="9">
        <f>IF(OR(I19=0,K19=0), "good","check")</f>
        <v>0</v>
      </c>
      <c r="U19" s="3">
        <v>21</v>
      </c>
    </row>
    <row r="20" spans="1:21">
      <c r="A20" s="3" t="s">
        <v>18</v>
      </c>
      <c r="B20" s="4">
        <v>19</v>
      </c>
      <c r="C20" s="5" t="s">
        <v>19</v>
      </c>
      <c r="D20" s="6" t="s">
        <v>20</v>
      </c>
      <c r="E20" s="6"/>
      <c r="F20" s="7">
        <v>0</v>
      </c>
      <c r="G20" s="6"/>
      <c r="H20" s="4" t="s">
        <v>22</v>
      </c>
      <c r="I20" s="8">
        <f>IF(COUNTIF(Q7:Q8, 19) &gt; 0, 2 + INDIRECT("S" &amp; MATCH(19, Q7:Q8, 0) + 6), 2)</f>
        <v>0</v>
      </c>
      <c r="J20" s="8">
        <f>IF(COUNTIF(Q7:Q8, 19) &gt; 0, 4 + INDIRECT("T" &amp; MATCH(19, Q7:Q8, 0) + 6), 4)</f>
        <v>0</v>
      </c>
      <c r="K20" s="8">
        <f>IF(COUNTIF(C2:C233, 19) &gt; 0, 0, IF(COUNTIF(Q7:Q8, 19) &gt; 0, 4 + INDIRECT("T" &amp; MATCH(19, Q7:Q8, 0) + 6), 4))</f>
        <v>0</v>
      </c>
      <c r="L20" s="9">
        <f>IF(OR(I20=0,K20=0), "good","check")</f>
        <v>0</v>
      </c>
      <c r="U20" s="3">
        <v>22</v>
      </c>
    </row>
    <row r="21" spans="1:21">
      <c r="A21" s="3" t="s">
        <v>18</v>
      </c>
      <c r="B21" s="4">
        <v>20</v>
      </c>
      <c r="C21" s="5" t="s">
        <v>19</v>
      </c>
      <c r="D21" s="6" t="s">
        <v>20</v>
      </c>
      <c r="E21" s="6"/>
      <c r="F21" s="7">
        <v>0</v>
      </c>
      <c r="G21" s="6"/>
      <c r="H21" s="4" t="s">
        <v>22</v>
      </c>
      <c r="I21" s="8">
        <f>IF(COUNTIF(Q7:Q8, 20) &gt; 0, 5 + INDIRECT("S" &amp; MATCH(20, Q7:Q8, 0) + 6), 5)</f>
        <v>0</v>
      </c>
      <c r="J21" s="8">
        <f>IF(COUNTIF(Q7:Q8, 20) &gt; 0, 0 + INDIRECT("T" &amp; MATCH(20, Q7:Q8, 0) + 6), 0)</f>
        <v>0</v>
      </c>
      <c r="K21" s="8">
        <f>IF(COUNTIF(C2:C233, 20) &gt; 0, 0, IF(COUNTIF(Q7:Q8, 20) &gt; 0, 0 + INDIRECT("T" &amp; MATCH(20, Q7:Q8, 0) + 6), 0))</f>
        <v>0</v>
      </c>
      <c r="L21" s="9">
        <f>IF(OR(I21=0,K21=0), "good","check")</f>
        <v>0</v>
      </c>
      <c r="U21" s="3">
        <v>23</v>
      </c>
    </row>
    <row r="22" spans="1:21">
      <c r="A22" s="3" t="s">
        <v>18</v>
      </c>
      <c r="B22" s="4">
        <v>21</v>
      </c>
      <c r="C22" s="5" t="s">
        <v>19</v>
      </c>
      <c r="D22" s="6" t="s">
        <v>20</v>
      </c>
      <c r="E22" s="6"/>
      <c r="F22" s="7">
        <v>0</v>
      </c>
      <c r="G22" s="6"/>
      <c r="H22" s="4" t="s">
        <v>22</v>
      </c>
      <c r="I22" s="8">
        <f>IF(COUNTIF(Q7:Q8, 21) &gt; 0, 2 + INDIRECT("S" &amp; MATCH(21, Q7:Q8, 0) + 6), 2)</f>
        <v>0</v>
      </c>
      <c r="J22" s="8">
        <f>IF(COUNTIF(Q7:Q8, 21) &gt; 0, 2 + INDIRECT("T" &amp; MATCH(21, Q7:Q8, 0) + 6), 2)</f>
        <v>0</v>
      </c>
      <c r="K22" s="8">
        <f>IF(COUNTIF(C2:C233, 21) &gt; 0, 0, IF(COUNTIF(Q7:Q8, 21) &gt; 0, 2 + INDIRECT("T" &amp; MATCH(21, Q7:Q8, 0) + 6), 2))</f>
        <v>0</v>
      </c>
      <c r="L22" s="9">
        <f>IF(OR(I22=0,K22=0), "good","check")</f>
        <v>0</v>
      </c>
      <c r="U22" s="3">
        <v>24</v>
      </c>
    </row>
    <row r="23" spans="1:21">
      <c r="A23" s="3" t="s">
        <v>18</v>
      </c>
      <c r="B23" s="4">
        <v>22</v>
      </c>
      <c r="C23" s="5" t="s">
        <v>19</v>
      </c>
      <c r="D23" s="6" t="s">
        <v>20</v>
      </c>
      <c r="E23" s="6"/>
      <c r="F23" s="7">
        <v>0</v>
      </c>
      <c r="G23" s="6"/>
      <c r="H23" s="4" t="s">
        <v>22</v>
      </c>
      <c r="I23" s="8">
        <f>IF(COUNTIF(Q7:Q8, 22) &gt; 0, 1 + INDIRECT("S" &amp; MATCH(22, Q7:Q8, 0) + 6), 1)</f>
        <v>0</v>
      </c>
      <c r="J23" s="8">
        <f>IF(COUNTIF(Q7:Q8, 22) &gt; 0, 4 + INDIRECT("T" &amp; MATCH(22, Q7:Q8, 0) + 6), 4)</f>
        <v>0</v>
      </c>
      <c r="K23" s="8">
        <f>IF(COUNTIF(C2:C233, 22) &gt; 0, 0, IF(COUNTIF(Q7:Q8, 22) &gt; 0, 4 + INDIRECT("T" &amp; MATCH(22, Q7:Q8, 0) + 6), 4))</f>
        <v>0</v>
      </c>
      <c r="L23" s="9">
        <f>IF(OR(I23=0,K23=0), "good","check")</f>
        <v>0</v>
      </c>
      <c r="U23" s="3">
        <v>25</v>
      </c>
    </row>
    <row r="24" spans="1:21">
      <c r="A24" s="3" t="s">
        <v>18</v>
      </c>
      <c r="B24" s="4">
        <v>23</v>
      </c>
      <c r="C24" s="5" t="s">
        <v>19</v>
      </c>
      <c r="D24" s="6" t="s">
        <v>20</v>
      </c>
      <c r="E24" s="6"/>
      <c r="F24" s="7">
        <v>0</v>
      </c>
      <c r="G24" s="6"/>
      <c r="H24" s="4" t="s">
        <v>22</v>
      </c>
      <c r="I24" s="8">
        <f>IF(COUNTIF(Q7:Q8, 23) &gt; 0, 1 + INDIRECT("S" &amp; MATCH(23, Q7:Q8, 0) + 6), 1)</f>
        <v>0</v>
      </c>
      <c r="J24" s="8">
        <f>IF(COUNTIF(Q7:Q8, 23) &gt; 0, 4 + INDIRECT("T" &amp; MATCH(23, Q7:Q8, 0) + 6), 4)</f>
        <v>0</v>
      </c>
      <c r="K24" s="8">
        <f>IF(COUNTIF(C2:C233, 23) &gt; 0, 0, IF(COUNTIF(Q7:Q8, 23) &gt; 0, 4 + INDIRECT("T" &amp; MATCH(23, Q7:Q8, 0) + 6), 4))</f>
        <v>0</v>
      </c>
      <c r="L24" s="9">
        <f>IF(OR(I24=0,K24=0), "good","check")</f>
        <v>0</v>
      </c>
      <c r="U24" s="3">
        <v>26</v>
      </c>
    </row>
    <row r="25" spans="1:21">
      <c r="A25" s="3" t="s">
        <v>18</v>
      </c>
      <c r="B25" s="4">
        <v>24</v>
      </c>
      <c r="C25" s="5" t="s">
        <v>19</v>
      </c>
      <c r="D25" s="6" t="s">
        <v>20</v>
      </c>
      <c r="E25" s="6"/>
      <c r="F25" s="7">
        <v>0</v>
      </c>
      <c r="G25" s="6"/>
      <c r="H25" s="4" t="s">
        <v>22</v>
      </c>
      <c r="I25" s="8">
        <f>IF(COUNTIF(Q7:Q8, 24) &gt; 0, 4 + INDIRECT("S" &amp; MATCH(24, Q7:Q8, 0) + 6), 4)</f>
        <v>0</v>
      </c>
      <c r="J25" s="8">
        <f>IF(COUNTIF(Q7:Q8, 24) &gt; 0, 0 + INDIRECT("T" &amp; MATCH(24, Q7:Q8, 0) + 6), 0)</f>
        <v>0</v>
      </c>
      <c r="K25" s="8">
        <f>IF(COUNTIF(C2:C233, 24) &gt; 0, 0, IF(COUNTIF(Q7:Q8, 24) &gt; 0, 0 + INDIRECT("T" &amp; MATCH(24, Q7:Q8, 0) + 6), 0))</f>
        <v>0</v>
      </c>
      <c r="L25" s="9">
        <f>IF(OR(I25=0,K25=0), "good","check")</f>
        <v>0</v>
      </c>
      <c r="U25" s="3">
        <v>27</v>
      </c>
    </row>
    <row r="26" spans="1:21">
      <c r="A26" s="3" t="s">
        <v>18</v>
      </c>
      <c r="B26" s="4">
        <v>25</v>
      </c>
      <c r="C26" s="5" t="s">
        <v>19</v>
      </c>
      <c r="D26" s="6" t="s">
        <v>20</v>
      </c>
      <c r="E26" s="6"/>
      <c r="F26" s="7">
        <v>0</v>
      </c>
      <c r="G26" s="6"/>
      <c r="H26" s="4" t="s">
        <v>22</v>
      </c>
      <c r="I26" s="8">
        <f>IF(COUNTIF(Q7:Q8, 25) &gt; 0, 3 + INDIRECT("S" &amp; MATCH(25, Q7:Q8, 0) + 6), 3)</f>
        <v>0</v>
      </c>
      <c r="J26" s="8">
        <f>IF(COUNTIF(Q7:Q8, 25) &gt; 0, 2 + INDIRECT("T" &amp; MATCH(25, Q7:Q8, 0) + 6), 2)</f>
        <v>0</v>
      </c>
      <c r="K26" s="8">
        <f>IF(COUNTIF(C2:C233, 25) &gt; 0, 0, IF(COUNTIF(Q7:Q8, 25) &gt; 0, 2 + INDIRECT("T" &amp; MATCH(25, Q7:Q8, 0) + 6), 2))</f>
        <v>0</v>
      </c>
      <c r="L26" s="9">
        <f>IF(OR(I26=0,K26=0), "good","check")</f>
        <v>0</v>
      </c>
      <c r="U26" s="3">
        <v>28</v>
      </c>
    </row>
    <row r="27" spans="1:21">
      <c r="A27" s="3" t="s">
        <v>18</v>
      </c>
      <c r="B27" s="4">
        <v>26</v>
      </c>
      <c r="C27" s="5" t="s">
        <v>19</v>
      </c>
      <c r="D27" s="6" t="s">
        <v>20</v>
      </c>
      <c r="E27" s="6"/>
      <c r="F27" s="7">
        <v>0</v>
      </c>
      <c r="G27" s="6"/>
      <c r="H27" s="4" t="s">
        <v>22</v>
      </c>
      <c r="I27" s="8">
        <f>IF(COUNTIF(Q7:Q8, 26) &gt; 0, 3 + INDIRECT("S" &amp; MATCH(26, Q7:Q8, 0) + 6), 3)</f>
        <v>0</v>
      </c>
      <c r="J27" s="8">
        <f>IF(COUNTIF(Q7:Q8, 26) &gt; 0, 2 + INDIRECT("T" &amp; MATCH(26, Q7:Q8, 0) + 6), 2)</f>
        <v>0</v>
      </c>
      <c r="K27" s="8">
        <f>IF(COUNTIF(C2:C233, 26) &gt; 0, 0, IF(COUNTIF(Q7:Q8, 26) &gt; 0, 2 + INDIRECT("T" &amp; MATCH(26, Q7:Q8, 0) + 6), 2))</f>
        <v>0</v>
      </c>
      <c r="L27" s="9">
        <f>IF(OR(I27=0,K27=0), "good","check")</f>
        <v>0</v>
      </c>
      <c r="U27" s="3">
        <v>29</v>
      </c>
    </row>
    <row r="28" spans="1:21">
      <c r="A28" s="3" t="s">
        <v>18</v>
      </c>
      <c r="B28" s="4">
        <v>27</v>
      </c>
      <c r="C28" s="5" t="s">
        <v>19</v>
      </c>
      <c r="D28" s="6" t="s">
        <v>20</v>
      </c>
      <c r="E28" s="6"/>
      <c r="F28" s="7">
        <v>0</v>
      </c>
      <c r="G28" s="6"/>
      <c r="H28" s="4" t="s">
        <v>22</v>
      </c>
      <c r="I28" s="8">
        <f>IF(COUNTIF(Q7:Q8, 27) &gt; 0, 1 + INDIRECT("S" &amp; MATCH(27, Q7:Q8, 0) + 6), 1)</f>
        <v>0</v>
      </c>
      <c r="J28" s="8">
        <f>IF(COUNTIF(Q7:Q8, 27) &gt; 0, 4 + INDIRECT("T" &amp; MATCH(27, Q7:Q8, 0) + 6), 4)</f>
        <v>0</v>
      </c>
      <c r="K28" s="8">
        <f>IF(COUNTIF(C2:C233, 27) &gt; 0, 0, IF(COUNTIF(Q7:Q8, 27) &gt; 0, 4 + INDIRECT("T" &amp; MATCH(27, Q7:Q8, 0) + 6), 4))</f>
        <v>0</v>
      </c>
      <c r="L28" s="9">
        <f>IF(OR(I28=0,K28=0), "good","check")</f>
        <v>0</v>
      </c>
      <c r="U28" s="3">
        <v>30</v>
      </c>
    </row>
    <row r="29" spans="1:21">
      <c r="A29" s="3" t="s">
        <v>18</v>
      </c>
      <c r="B29" s="4">
        <v>28</v>
      </c>
      <c r="C29" s="5" t="s">
        <v>19</v>
      </c>
      <c r="D29" s="6" t="s">
        <v>20</v>
      </c>
      <c r="E29" s="6"/>
      <c r="F29" s="7">
        <v>0</v>
      </c>
      <c r="G29" s="6"/>
      <c r="H29" s="4" t="s">
        <v>22</v>
      </c>
      <c r="I29" s="8">
        <f>IF(COUNTIF(Q7:Q8, 28) &gt; 0, 2 + INDIRECT("S" &amp; MATCH(28, Q7:Q8, 0) + 6), 2)</f>
        <v>0</v>
      </c>
      <c r="J29" s="8">
        <f>IF(COUNTIF(Q7:Q8, 28) &gt; 0, 4 + INDIRECT("T" &amp; MATCH(28, Q7:Q8, 0) + 6), 4)</f>
        <v>0</v>
      </c>
      <c r="K29" s="8">
        <f>IF(COUNTIF(C2:C233, 28) &gt; 0, 0, IF(COUNTIF(Q7:Q8, 28) &gt; 0, 4 + INDIRECT("T" &amp; MATCH(28, Q7:Q8, 0) + 6), 4))</f>
        <v>0</v>
      </c>
      <c r="L29" s="9">
        <f>IF(OR(I29=0,K29=0), "good","check")</f>
        <v>0</v>
      </c>
      <c r="U29" s="3">
        <v>31</v>
      </c>
    </row>
    <row r="30" spans="1:21">
      <c r="A30" s="3" t="s">
        <v>18</v>
      </c>
      <c r="B30" s="4">
        <v>29</v>
      </c>
      <c r="C30" s="5" t="s">
        <v>19</v>
      </c>
      <c r="D30" s="6" t="s">
        <v>20</v>
      </c>
      <c r="E30" s="6"/>
      <c r="F30" s="7">
        <v>0</v>
      </c>
      <c r="G30" s="6"/>
      <c r="H30" s="4" t="s">
        <v>22</v>
      </c>
      <c r="I30" s="8">
        <f>IF(COUNTIF(Q7:Q8, 29) &gt; 0, 4 + INDIRECT("S" &amp; MATCH(29, Q7:Q8, 0) + 6), 4)</f>
        <v>0</v>
      </c>
      <c r="J30" s="8">
        <f>IF(COUNTIF(Q7:Q8, 29) &gt; 0, 0 + INDIRECT("T" &amp; MATCH(29, Q7:Q8, 0) + 6), 0)</f>
        <v>0</v>
      </c>
      <c r="K30" s="8">
        <f>IF(COUNTIF(C2:C233, 29) &gt; 0, 0, IF(COUNTIF(Q7:Q8, 29) &gt; 0, 0 + INDIRECT("T" &amp; MATCH(29, Q7:Q8, 0) + 6), 0))</f>
        <v>0</v>
      </c>
      <c r="L30" s="9">
        <f>IF(OR(I30=0,K30=0), "good","check")</f>
        <v>0</v>
      </c>
      <c r="U30" s="3">
        <v>32</v>
      </c>
    </row>
    <row r="31" spans="1:21">
      <c r="A31" s="3" t="s">
        <v>18</v>
      </c>
      <c r="B31" s="4">
        <v>30</v>
      </c>
      <c r="C31" s="5" t="s">
        <v>19</v>
      </c>
      <c r="D31" s="6" t="s">
        <v>20</v>
      </c>
      <c r="E31" s="6"/>
      <c r="F31" s="7">
        <v>0</v>
      </c>
      <c r="G31" s="6"/>
      <c r="H31" s="4" t="s">
        <v>22</v>
      </c>
      <c r="I31" s="8">
        <f>IF(COUNTIF(Q7:Q8, 30) &gt; 0, 2 + INDIRECT("S" &amp; MATCH(30, Q7:Q8, 0) + 6), 2)</f>
        <v>0</v>
      </c>
      <c r="J31" s="8">
        <f>IF(COUNTIF(Q7:Q8, 30) &gt; 0, 2 + INDIRECT("T" &amp; MATCH(30, Q7:Q8, 0) + 6), 2)</f>
        <v>0</v>
      </c>
      <c r="K31" s="8">
        <f>IF(COUNTIF(C2:C233, 30) &gt; 0, 0, IF(COUNTIF(Q7:Q8, 30) &gt; 0, 2 + INDIRECT("T" &amp; MATCH(30, Q7:Q8, 0) + 6), 2))</f>
        <v>0</v>
      </c>
      <c r="L31" s="9">
        <f>IF(OR(I31=0,K31=0), "good","check")</f>
        <v>0</v>
      </c>
      <c r="U31" s="3">
        <v>33</v>
      </c>
    </row>
    <row r="32" spans="1:21">
      <c r="A32" s="3" t="s">
        <v>18</v>
      </c>
      <c r="B32" s="4">
        <v>31</v>
      </c>
      <c r="C32" s="5" t="s">
        <v>19</v>
      </c>
      <c r="D32" s="6" t="s">
        <v>20</v>
      </c>
      <c r="E32" s="6"/>
      <c r="F32" s="7">
        <v>0</v>
      </c>
      <c r="G32" s="6"/>
      <c r="H32" s="4" t="s">
        <v>22</v>
      </c>
      <c r="I32" s="8">
        <f>IF(COUNTIF(Q7:Q8, 31) &gt; 0, 4 + INDIRECT("S" &amp; MATCH(31, Q7:Q8, 0) + 6), 4)</f>
        <v>0</v>
      </c>
      <c r="J32" s="8">
        <f>IF(COUNTIF(Q7:Q8, 31) &gt; 0, 0 + INDIRECT("T" &amp; MATCH(31, Q7:Q8, 0) + 6), 0)</f>
        <v>0</v>
      </c>
      <c r="K32" s="8">
        <f>IF(COUNTIF(C2:C233, 31) &gt; 0, 0, IF(COUNTIF(Q7:Q8, 31) &gt; 0, 0 + INDIRECT("T" &amp; MATCH(31, Q7:Q8, 0) + 6), 0))</f>
        <v>0</v>
      </c>
      <c r="L32" s="9">
        <f>IF(OR(I32=0,K32=0), "good","check")</f>
        <v>0</v>
      </c>
      <c r="U32" s="3">
        <v>34</v>
      </c>
    </row>
    <row r="33" spans="1:21">
      <c r="A33" s="3" t="s">
        <v>18</v>
      </c>
      <c r="B33" s="4">
        <v>32</v>
      </c>
      <c r="C33" s="5" t="s">
        <v>19</v>
      </c>
      <c r="D33" s="6" t="s">
        <v>20</v>
      </c>
      <c r="E33" s="6"/>
      <c r="F33" s="7">
        <v>0</v>
      </c>
      <c r="G33" s="6"/>
      <c r="H33" s="4" t="s">
        <v>22</v>
      </c>
      <c r="I33" s="8">
        <f>IF(COUNTIF(Q7:Q8, 32) &gt; 0, 0 + INDIRECT("S" &amp; MATCH(32, Q7:Q8, 0) + 6), 0)</f>
        <v>0</v>
      </c>
      <c r="J33" s="8">
        <f>IF(COUNTIF(Q7:Q8, 32) &gt; 0, 4 + INDIRECT("T" &amp; MATCH(32, Q7:Q8, 0) + 6), 4)</f>
        <v>0</v>
      </c>
      <c r="K33" s="8">
        <f>IF(COUNTIF(C2:C233, 32) &gt; 0, 0, IF(COUNTIF(Q7:Q8, 32) &gt; 0, 4 + INDIRECT("T" &amp; MATCH(32, Q7:Q8, 0) + 6), 4))</f>
        <v>0</v>
      </c>
      <c r="L33" s="9">
        <f>IF(OR(I33=0,K33=0), "good","check")</f>
        <v>0</v>
      </c>
      <c r="U33" s="3">
        <v>36</v>
      </c>
    </row>
    <row r="34" spans="1:21">
      <c r="A34" s="3" t="s">
        <v>18</v>
      </c>
      <c r="B34" s="4">
        <v>33</v>
      </c>
      <c r="C34" s="5" t="s">
        <v>19</v>
      </c>
      <c r="D34" s="6" t="s">
        <v>20</v>
      </c>
      <c r="E34" s="6"/>
      <c r="F34" s="7">
        <v>0</v>
      </c>
      <c r="G34" s="6"/>
      <c r="H34" s="4" t="s">
        <v>22</v>
      </c>
      <c r="I34" s="8">
        <f>IF(COUNTIF(Q7:Q8, 33) &gt; 0, 0 + INDIRECT("S" &amp; MATCH(33, Q7:Q8, 0) + 6), 0)</f>
        <v>0</v>
      </c>
      <c r="J34" s="8">
        <f>IF(COUNTIF(Q7:Q8, 33) &gt; 0, 4 + INDIRECT("T" &amp; MATCH(33, Q7:Q8, 0) + 6), 4)</f>
        <v>0</v>
      </c>
      <c r="K34" s="8">
        <f>IF(COUNTIF(C2:C233, 33) &gt; 0, 0, IF(COUNTIF(Q7:Q8, 33) &gt; 0, 4 + INDIRECT("T" &amp; MATCH(33, Q7:Q8, 0) + 6), 4))</f>
        <v>0</v>
      </c>
      <c r="L34" s="9">
        <f>IF(OR(I34=0,K34=0), "good","check")</f>
        <v>0</v>
      </c>
      <c r="U34" s="3">
        <v>39</v>
      </c>
    </row>
    <row r="35" spans="1:21">
      <c r="A35" s="3" t="s">
        <v>18</v>
      </c>
      <c r="B35" s="4">
        <v>34</v>
      </c>
      <c r="C35" s="5" t="s">
        <v>19</v>
      </c>
      <c r="D35" s="6" t="s">
        <v>20</v>
      </c>
      <c r="E35" s="6"/>
      <c r="F35" s="7">
        <v>0</v>
      </c>
      <c r="G35" s="6"/>
      <c r="H35" s="4" t="s">
        <v>22</v>
      </c>
      <c r="I35" s="8">
        <f>IF(COUNTIF(Q7:Q8, 34) &gt; 0, 0 + INDIRECT("S" &amp; MATCH(34, Q7:Q8, 0) + 6), 0)</f>
        <v>0</v>
      </c>
      <c r="J35" s="8">
        <f>IF(COUNTIF(Q7:Q8, 34) &gt; 0, 4 + INDIRECT("T" &amp; MATCH(34, Q7:Q8, 0) + 6), 4)</f>
        <v>0</v>
      </c>
      <c r="K35" s="8">
        <f>IF(COUNTIF(C2:C233, 34) &gt; 0, 0, IF(COUNTIF(Q7:Q8, 34) &gt; 0, 4 + INDIRECT("T" &amp; MATCH(34, Q7:Q8, 0) + 6), 4))</f>
        <v>0</v>
      </c>
      <c r="L35" s="9">
        <f>IF(OR(I35=0,K35=0), "good","check")</f>
        <v>0</v>
      </c>
      <c r="U35" s="3">
        <v>40</v>
      </c>
    </row>
    <row r="36" spans="1:21">
      <c r="A36" s="10" t="s">
        <v>21</v>
      </c>
      <c r="B36" s="10">
        <v>35</v>
      </c>
      <c r="C36" s="11"/>
      <c r="D36" s="11"/>
      <c r="E36" s="11"/>
      <c r="F36" s="12">
        <v>0</v>
      </c>
      <c r="G36" s="11"/>
      <c r="H36" s="13">
        <f>C36</f>
        <v>0</v>
      </c>
      <c r="I36" s="14">
        <v>0</v>
      </c>
      <c r="J36" s="14">
        <v>0</v>
      </c>
      <c r="K36" s="13">
        <f>IF(ISBLANK(C36), 0, INDIRECT("J"&amp; C36+1))</f>
        <v>0</v>
      </c>
      <c r="L36" s="9">
        <f>IF(OR(I36=0,K36=0), "good","check")</f>
        <v>0</v>
      </c>
      <c r="U36" s="3">
        <v>42</v>
      </c>
    </row>
    <row r="37" spans="1:21">
      <c r="A37" s="3" t="s">
        <v>18</v>
      </c>
      <c r="B37" s="4">
        <v>36</v>
      </c>
      <c r="C37" s="5" t="s">
        <v>19</v>
      </c>
      <c r="D37" s="6" t="s">
        <v>20</v>
      </c>
      <c r="E37" s="6"/>
      <c r="F37" s="7">
        <v>0</v>
      </c>
      <c r="G37" s="6"/>
      <c r="H37" s="4" t="s">
        <v>22</v>
      </c>
      <c r="I37" s="8">
        <f>IF(COUNTIF(Q7:Q8, 36) &gt; 0, 0 + INDIRECT("S" &amp; MATCH(36, Q7:Q8, 0) + 6), 0)</f>
        <v>0</v>
      </c>
      <c r="J37" s="8">
        <f>IF(COUNTIF(Q7:Q8, 36) &gt; 0, 4 + INDIRECT("T" &amp; MATCH(36, Q7:Q8, 0) + 6), 4)</f>
        <v>0</v>
      </c>
      <c r="K37" s="8">
        <f>IF(COUNTIF(C2:C233, 36) &gt; 0, 0, IF(COUNTIF(Q7:Q8, 36) &gt; 0, 4 + INDIRECT("T" &amp; MATCH(36, Q7:Q8, 0) + 6), 4))</f>
        <v>0</v>
      </c>
      <c r="L37" s="9">
        <f>IF(OR(I37=0,K37=0), "good","check")</f>
        <v>0</v>
      </c>
      <c r="U37" s="3">
        <v>43</v>
      </c>
    </row>
    <row r="38" spans="1:21">
      <c r="A38" s="10" t="s">
        <v>21</v>
      </c>
      <c r="B38" s="10">
        <v>37</v>
      </c>
      <c r="C38" s="11"/>
      <c r="D38" s="11"/>
      <c r="E38" s="11"/>
      <c r="F38" s="12">
        <v>0</v>
      </c>
      <c r="G38" s="11"/>
      <c r="H38" s="13">
        <f>C38</f>
        <v>0</v>
      </c>
      <c r="I38" s="14">
        <v>0</v>
      </c>
      <c r="J38" s="14">
        <v>0</v>
      </c>
      <c r="K38" s="13">
        <f>IF(ISBLANK(C38), 0, INDIRECT("J"&amp; C38+1))</f>
        <v>0</v>
      </c>
      <c r="L38" s="9">
        <f>IF(OR(I38=0,K38=0), "good","check")</f>
        <v>0</v>
      </c>
      <c r="U38" s="3">
        <v>44</v>
      </c>
    </row>
    <row r="39" spans="1:21">
      <c r="A39" s="10" t="s">
        <v>21</v>
      </c>
      <c r="B39" s="10">
        <v>38</v>
      </c>
      <c r="C39" s="11"/>
      <c r="D39" s="11"/>
      <c r="E39" s="11"/>
      <c r="F39" s="12">
        <v>0</v>
      </c>
      <c r="G39" s="11"/>
      <c r="H39" s="13">
        <f>C39</f>
        <v>0</v>
      </c>
      <c r="I39" s="14">
        <v>0</v>
      </c>
      <c r="J39" s="14">
        <v>0</v>
      </c>
      <c r="K39" s="13">
        <f>IF(ISBLANK(C39), 0, INDIRECT("J"&amp; C39+1))</f>
        <v>0</v>
      </c>
      <c r="L39" s="9">
        <f>IF(OR(I39=0,K39=0), "good","check")</f>
        <v>0</v>
      </c>
      <c r="U39" s="3">
        <v>46</v>
      </c>
    </row>
    <row r="40" spans="1:21">
      <c r="A40" s="3" t="s">
        <v>18</v>
      </c>
      <c r="B40" s="4">
        <v>39</v>
      </c>
      <c r="C40" s="5" t="s">
        <v>19</v>
      </c>
      <c r="D40" s="6" t="s">
        <v>20</v>
      </c>
      <c r="E40" s="6"/>
      <c r="F40" s="7">
        <v>0</v>
      </c>
      <c r="G40" s="6"/>
      <c r="H40" s="4" t="s">
        <v>22</v>
      </c>
      <c r="I40" s="8">
        <f>IF(COUNTIF(Q7:Q8, 39) &gt; 0, 0 + INDIRECT("S" &amp; MATCH(39, Q7:Q8, 0) + 6), 0)</f>
        <v>0</v>
      </c>
      <c r="J40" s="8">
        <f>IF(COUNTIF(Q7:Q8, 39) &gt; 0, 4 + INDIRECT("T" &amp; MATCH(39, Q7:Q8, 0) + 6), 4)</f>
        <v>0</v>
      </c>
      <c r="K40" s="8">
        <f>IF(COUNTIF(C2:C233, 39) &gt; 0, 0, IF(COUNTIF(Q7:Q8, 39) &gt; 0, 4 + INDIRECT("T" &amp; MATCH(39, Q7:Q8, 0) + 6), 4))</f>
        <v>0</v>
      </c>
      <c r="L40" s="9">
        <f>IF(OR(I40=0,K40=0), "good","check")</f>
        <v>0</v>
      </c>
      <c r="U40" s="3">
        <v>48</v>
      </c>
    </row>
    <row r="41" spans="1:21">
      <c r="A41" s="3" t="s">
        <v>18</v>
      </c>
      <c r="B41" s="4">
        <v>40</v>
      </c>
      <c r="C41" s="5" t="s">
        <v>19</v>
      </c>
      <c r="D41" s="6" t="s">
        <v>20</v>
      </c>
      <c r="E41" s="6"/>
      <c r="F41" s="7">
        <v>0</v>
      </c>
      <c r="G41" s="6"/>
      <c r="H41" s="4" t="s">
        <v>22</v>
      </c>
      <c r="I41" s="8">
        <f>IF(COUNTIF(Q7:Q8, 40) &gt; 0, 0 + INDIRECT("S" &amp; MATCH(40, Q7:Q8, 0) + 6), 0)</f>
        <v>0</v>
      </c>
      <c r="J41" s="8">
        <f>IF(COUNTIF(Q7:Q8, 40) &gt; 0, 4 + INDIRECT("T" &amp; MATCH(40, Q7:Q8, 0) + 6), 4)</f>
        <v>0</v>
      </c>
      <c r="K41" s="8">
        <f>IF(COUNTIF(C2:C233, 40) &gt; 0, 0, IF(COUNTIF(Q7:Q8, 40) &gt; 0, 4 + INDIRECT("T" &amp; MATCH(40, Q7:Q8, 0) + 6), 4))</f>
        <v>0</v>
      </c>
      <c r="L41" s="9">
        <f>IF(OR(I41=0,K41=0), "good","check")</f>
        <v>0</v>
      </c>
      <c r="U41" s="3">
        <v>50</v>
      </c>
    </row>
    <row r="42" spans="1:21">
      <c r="A42" s="10" t="s">
        <v>21</v>
      </c>
      <c r="B42" s="10">
        <v>41</v>
      </c>
      <c r="C42" s="11"/>
      <c r="D42" s="11"/>
      <c r="E42" s="11"/>
      <c r="F42" s="12">
        <v>0</v>
      </c>
      <c r="G42" s="11"/>
      <c r="H42" s="13">
        <f>C42</f>
        <v>0</v>
      </c>
      <c r="I42" s="14">
        <v>0</v>
      </c>
      <c r="J42" s="14">
        <v>0</v>
      </c>
      <c r="K42" s="13">
        <f>IF(ISBLANK(C42), 0, INDIRECT("J"&amp; C42+1))</f>
        <v>0</v>
      </c>
      <c r="L42" s="9">
        <f>IF(OR(I42=0,K42=0), "good","check")</f>
        <v>0</v>
      </c>
      <c r="U42" s="3">
        <v>53</v>
      </c>
    </row>
    <row r="43" spans="1:21">
      <c r="A43" s="3" t="s">
        <v>18</v>
      </c>
      <c r="B43" s="4">
        <v>42</v>
      </c>
      <c r="C43" s="5" t="s">
        <v>19</v>
      </c>
      <c r="D43" s="6" t="s">
        <v>20</v>
      </c>
      <c r="E43" s="6"/>
      <c r="F43" s="7">
        <v>0</v>
      </c>
      <c r="G43" s="6"/>
      <c r="H43" s="4" t="s">
        <v>22</v>
      </c>
      <c r="I43" s="8">
        <f>IF(COUNTIF(Q7:Q8, 42) &gt; 0, 0 + INDIRECT("S" &amp; MATCH(42, Q7:Q8, 0) + 6), 0)</f>
        <v>0</v>
      </c>
      <c r="J43" s="8">
        <f>IF(COUNTIF(Q7:Q8, 42) &gt; 0, 4 + INDIRECT("T" &amp; MATCH(42, Q7:Q8, 0) + 6), 4)</f>
        <v>0</v>
      </c>
      <c r="K43" s="8">
        <f>IF(COUNTIF(C2:C233, 42) &gt; 0, 0, IF(COUNTIF(Q7:Q8, 42) &gt; 0, 4 + INDIRECT("T" &amp; MATCH(42, Q7:Q8, 0) + 6), 4))</f>
        <v>0</v>
      </c>
      <c r="L43" s="9">
        <f>IF(OR(I43=0,K43=0), "good","check")</f>
        <v>0</v>
      </c>
      <c r="U43" s="3">
        <v>55</v>
      </c>
    </row>
    <row r="44" spans="1:21">
      <c r="A44" s="3" t="s">
        <v>18</v>
      </c>
      <c r="B44" s="4">
        <v>43</v>
      </c>
      <c r="C44" s="5" t="s">
        <v>19</v>
      </c>
      <c r="D44" s="6" t="s">
        <v>20</v>
      </c>
      <c r="E44" s="6"/>
      <c r="F44" s="7">
        <v>0</v>
      </c>
      <c r="G44" s="6"/>
      <c r="H44" s="4" t="s">
        <v>22</v>
      </c>
      <c r="I44" s="8">
        <f>IF(COUNTIF(Q7:Q8, 43) &gt; 0, 0 + INDIRECT("S" &amp; MATCH(43, Q7:Q8, 0) + 6), 0)</f>
        <v>0</v>
      </c>
      <c r="J44" s="8">
        <f>IF(COUNTIF(Q7:Q8, 43) &gt; 0, 4 + INDIRECT("T" &amp; MATCH(43, Q7:Q8, 0) + 6), 4)</f>
        <v>0</v>
      </c>
      <c r="K44" s="8">
        <f>IF(COUNTIF(C2:C233, 43) &gt; 0, 0, IF(COUNTIF(Q7:Q8, 43) &gt; 0, 4 + INDIRECT("T" &amp; MATCH(43, Q7:Q8, 0) + 6), 4))</f>
        <v>0</v>
      </c>
      <c r="L44" s="9">
        <f>IF(OR(I44=0,K44=0), "good","check")</f>
        <v>0</v>
      </c>
      <c r="U44" s="3">
        <v>56</v>
      </c>
    </row>
    <row r="45" spans="1:21">
      <c r="A45" s="3" t="s">
        <v>18</v>
      </c>
      <c r="B45" s="4">
        <v>44</v>
      </c>
      <c r="C45" s="5" t="s">
        <v>19</v>
      </c>
      <c r="D45" s="6" t="s">
        <v>20</v>
      </c>
      <c r="E45" s="6"/>
      <c r="F45" s="7">
        <v>0</v>
      </c>
      <c r="G45" s="6"/>
      <c r="H45" s="4" t="s">
        <v>22</v>
      </c>
      <c r="I45" s="8">
        <f>IF(COUNTIF(Q7:Q8, 44) &gt; 0, 0 + INDIRECT("S" &amp; MATCH(44, Q7:Q8, 0) + 6), 0)</f>
        <v>0</v>
      </c>
      <c r="J45" s="8">
        <f>IF(COUNTIF(Q7:Q8, 44) &gt; 0, 4 + INDIRECT("T" &amp; MATCH(44, Q7:Q8, 0) + 6), 4)</f>
        <v>0</v>
      </c>
      <c r="K45" s="8">
        <f>IF(COUNTIF(C2:C233, 44) &gt; 0, 0, IF(COUNTIF(Q7:Q8, 44) &gt; 0, 4 + INDIRECT("T" &amp; MATCH(44, Q7:Q8, 0) + 6), 4))</f>
        <v>0</v>
      </c>
      <c r="L45" s="9">
        <f>IF(OR(I45=0,K45=0), "good","check")</f>
        <v>0</v>
      </c>
      <c r="U45" s="3">
        <v>57</v>
      </c>
    </row>
    <row r="46" spans="1:21">
      <c r="A46" s="10" t="s">
        <v>21</v>
      </c>
      <c r="B46" s="10">
        <v>45</v>
      </c>
      <c r="C46" s="11"/>
      <c r="D46" s="11"/>
      <c r="E46" s="11"/>
      <c r="F46" s="12">
        <v>0</v>
      </c>
      <c r="G46" s="11"/>
      <c r="H46" s="13">
        <f>C46</f>
        <v>0</v>
      </c>
      <c r="I46" s="14">
        <v>0</v>
      </c>
      <c r="J46" s="14">
        <v>0</v>
      </c>
      <c r="K46" s="13">
        <f>IF(ISBLANK(C46), 0, INDIRECT("J"&amp; C46+1))</f>
        <v>0</v>
      </c>
      <c r="L46" s="9">
        <f>IF(OR(I46=0,K46=0), "good","check")</f>
        <v>0</v>
      </c>
      <c r="U46" s="3">
        <v>59</v>
      </c>
    </row>
    <row r="47" spans="1:21">
      <c r="A47" s="3" t="s">
        <v>18</v>
      </c>
      <c r="B47" s="4">
        <v>46</v>
      </c>
      <c r="C47" s="5" t="s">
        <v>19</v>
      </c>
      <c r="D47" s="6" t="s">
        <v>20</v>
      </c>
      <c r="E47" s="6"/>
      <c r="F47" s="7">
        <v>0</v>
      </c>
      <c r="G47" s="6"/>
      <c r="H47" s="4" t="s">
        <v>22</v>
      </c>
      <c r="I47" s="8">
        <f>IF(COUNTIF(Q7:Q8, 46) &gt; 0, 0 + INDIRECT("S" &amp; MATCH(46, Q7:Q8, 0) + 6), 0)</f>
        <v>0</v>
      </c>
      <c r="J47" s="8">
        <f>IF(COUNTIF(Q7:Q8, 46) &gt; 0, 4 + INDIRECT("T" &amp; MATCH(46, Q7:Q8, 0) + 6), 4)</f>
        <v>0</v>
      </c>
      <c r="K47" s="8">
        <f>IF(COUNTIF(C2:C233, 46) &gt; 0, 0, IF(COUNTIF(Q7:Q8, 46) &gt; 0, 4 + INDIRECT("T" &amp; MATCH(46, Q7:Q8, 0) + 6), 4))</f>
        <v>0</v>
      </c>
      <c r="L47" s="9">
        <f>IF(OR(I47=0,K47=0), "good","check")</f>
        <v>0</v>
      </c>
      <c r="U47" s="3">
        <v>61</v>
      </c>
    </row>
    <row r="48" spans="1:21">
      <c r="A48" s="10" t="s">
        <v>21</v>
      </c>
      <c r="B48" s="10">
        <v>47</v>
      </c>
      <c r="C48" s="11"/>
      <c r="D48" s="11"/>
      <c r="E48" s="11"/>
      <c r="F48" s="12">
        <v>0</v>
      </c>
      <c r="G48" s="11"/>
      <c r="H48" s="13">
        <f>C48</f>
        <v>0</v>
      </c>
      <c r="I48" s="14">
        <v>0</v>
      </c>
      <c r="J48" s="14">
        <v>0</v>
      </c>
      <c r="K48" s="13">
        <f>IF(ISBLANK(C48), 0, INDIRECT("J"&amp; C48+1))</f>
        <v>0</v>
      </c>
      <c r="L48" s="9">
        <f>IF(OR(I48=0,K48=0), "good","check")</f>
        <v>0</v>
      </c>
      <c r="U48" s="3">
        <v>63</v>
      </c>
    </row>
    <row r="49" spans="1:21">
      <c r="A49" s="3" t="s">
        <v>18</v>
      </c>
      <c r="B49" s="4">
        <v>48</v>
      </c>
      <c r="C49" s="5" t="s">
        <v>19</v>
      </c>
      <c r="D49" s="6" t="s">
        <v>20</v>
      </c>
      <c r="E49" s="6"/>
      <c r="F49" s="7">
        <v>0</v>
      </c>
      <c r="G49" s="6"/>
      <c r="H49" s="4" t="s">
        <v>22</v>
      </c>
      <c r="I49" s="8">
        <f>IF(COUNTIF(Q7:Q8, 48) &gt; 0, 0 + INDIRECT("S" &amp; MATCH(48, Q7:Q8, 0) + 6), 0)</f>
        <v>0</v>
      </c>
      <c r="J49" s="8">
        <f>IF(COUNTIF(Q7:Q8, 48) &gt; 0, 4 + INDIRECT("T" &amp; MATCH(48, Q7:Q8, 0) + 6), 4)</f>
        <v>0</v>
      </c>
      <c r="K49" s="8">
        <f>IF(COUNTIF(C2:C233, 48) &gt; 0, 0, IF(COUNTIF(Q7:Q8, 48) &gt; 0, 4 + INDIRECT("T" &amp; MATCH(48, Q7:Q8, 0) + 6), 4))</f>
        <v>0</v>
      </c>
      <c r="L49" s="9">
        <f>IF(OR(I49=0,K49=0), "good","check")</f>
        <v>0</v>
      </c>
      <c r="U49" s="3">
        <v>64</v>
      </c>
    </row>
    <row r="50" spans="1:21">
      <c r="A50" s="10" t="s">
        <v>21</v>
      </c>
      <c r="B50" s="10">
        <v>49</v>
      </c>
      <c r="C50" s="11"/>
      <c r="D50" s="11"/>
      <c r="E50" s="11"/>
      <c r="F50" s="12">
        <v>0</v>
      </c>
      <c r="G50" s="11"/>
      <c r="H50" s="13">
        <f>C50</f>
        <v>0</v>
      </c>
      <c r="I50" s="14">
        <v>0</v>
      </c>
      <c r="J50" s="14">
        <v>0</v>
      </c>
      <c r="K50" s="13">
        <f>IF(ISBLANK(C50), 0, INDIRECT("J"&amp; C50+1))</f>
        <v>0</v>
      </c>
      <c r="L50" s="9">
        <f>IF(OR(I50=0,K50=0), "good","check")</f>
        <v>0</v>
      </c>
      <c r="U50" s="3">
        <v>66</v>
      </c>
    </row>
    <row r="51" spans="1:21">
      <c r="A51" s="3" t="s">
        <v>18</v>
      </c>
      <c r="B51" s="4">
        <v>50</v>
      </c>
      <c r="C51" s="5" t="s">
        <v>19</v>
      </c>
      <c r="D51" s="6" t="s">
        <v>20</v>
      </c>
      <c r="E51" s="6"/>
      <c r="F51" s="7">
        <v>0</v>
      </c>
      <c r="G51" s="6"/>
      <c r="H51" s="4" t="s">
        <v>22</v>
      </c>
      <c r="I51" s="8">
        <f>IF(COUNTIF(Q7:Q8, 50) &gt; 0, 0 + INDIRECT("S" &amp; MATCH(50, Q7:Q8, 0) + 6), 0)</f>
        <v>0</v>
      </c>
      <c r="J51" s="8">
        <f>IF(COUNTIF(Q7:Q8, 50) &gt; 0, 4 + INDIRECT("T" &amp; MATCH(50, Q7:Q8, 0) + 6), 4)</f>
        <v>0</v>
      </c>
      <c r="K51" s="8">
        <f>IF(COUNTIF(C2:C233, 50) &gt; 0, 0, IF(COUNTIF(Q7:Q8, 50) &gt; 0, 4 + INDIRECT("T" &amp; MATCH(50, Q7:Q8, 0) + 6), 4))</f>
        <v>0</v>
      </c>
      <c r="L51" s="9">
        <f>IF(OR(I51=0,K51=0), "good","check")</f>
        <v>0</v>
      </c>
      <c r="U51" s="3">
        <v>67</v>
      </c>
    </row>
    <row r="52" spans="1:21">
      <c r="A52" s="10" t="s">
        <v>21</v>
      </c>
      <c r="B52" s="10">
        <v>51</v>
      </c>
      <c r="C52" s="11"/>
      <c r="D52" s="11"/>
      <c r="E52" s="11"/>
      <c r="F52" s="12">
        <v>0</v>
      </c>
      <c r="G52" s="11"/>
      <c r="H52" s="13">
        <f>C52</f>
        <v>0</v>
      </c>
      <c r="I52" s="14">
        <v>0</v>
      </c>
      <c r="J52" s="14">
        <v>0</v>
      </c>
      <c r="K52" s="13">
        <f>IF(ISBLANK(C52), 0, INDIRECT("J"&amp; C52+1))</f>
        <v>0</v>
      </c>
      <c r="L52" s="9">
        <f>IF(OR(I52=0,K52=0), "good","check")</f>
        <v>0</v>
      </c>
      <c r="U52" s="3">
        <v>69</v>
      </c>
    </row>
    <row r="53" spans="1:21">
      <c r="A53" s="10" t="s">
        <v>21</v>
      </c>
      <c r="B53" s="10">
        <v>52</v>
      </c>
      <c r="C53" s="11"/>
      <c r="D53" s="11"/>
      <c r="E53" s="11"/>
      <c r="F53" s="12">
        <v>0</v>
      </c>
      <c r="G53" s="11"/>
      <c r="H53" s="13">
        <f>C53</f>
        <v>0</v>
      </c>
      <c r="I53" s="14">
        <v>0</v>
      </c>
      <c r="J53" s="14">
        <v>0</v>
      </c>
      <c r="K53" s="13">
        <f>IF(ISBLANK(C53), 0, INDIRECT("J"&amp; C53+1))</f>
        <v>0</v>
      </c>
      <c r="L53" s="9">
        <f>IF(OR(I53=0,K53=0), "good","check")</f>
        <v>0</v>
      </c>
      <c r="U53" s="3">
        <v>70</v>
      </c>
    </row>
    <row r="54" spans="1:21">
      <c r="A54" s="3" t="s">
        <v>18</v>
      </c>
      <c r="B54" s="4">
        <v>53</v>
      </c>
      <c r="C54" s="5" t="s">
        <v>19</v>
      </c>
      <c r="D54" s="6" t="s">
        <v>20</v>
      </c>
      <c r="E54" s="6"/>
      <c r="F54" s="7">
        <v>0</v>
      </c>
      <c r="G54" s="6"/>
      <c r="H54" s="4" t="s">
        <v>22</v>
      </c>
      <c r="I54" s="8">
        <f>IF(COUNTIF(Q7:Q8, 53) &gt; 0, 0 + INDIRECT("S" &amp; MATCH(53, Q7:Q8, 0) + 6), 0)</f>
        <v>0</v>
      </c>
      <c r="J54" s="8">
        <f>IF(COUNTIF(Q7:Q8, 53) &gt; 0, 4 + INDIRECT("T" &amp; MATCH(53, Q7:Q8, 0) + 6), 4)</f>
        <v>0</v>
      </c>
      <c r="K54" s="8">
        <f>IF(COUNTIF(C2:C233, 53) &gt; 0, 0, IF(COUNTIF(Q7:Q8, 53) &gt; 0, 4 + INDIRECT("T" &amp; MATCH(53, Q7:Q8, 0) + 6), 4))</f>
        <v>0</v>
      </c>
      <c r="L54" s="9">
        <f>IF(OR(I54=0,K54=0), "good","check")</f>
        <v>0</v>
      </c>
      <c r="U54" s="3">
        <v>71</v>
      </c>
    </row>
    <row r="55" spans="1:21">
      <c r="A55" s="10" t="s">
        <v>21</v>
      </c>
      <c r="B55" s="10">
        <v>54</v>
      </c>
      <c r="C55" s="11"/>
      <c r="D55" s="11"/>
      <c r="E55" s="11"/>
      <c r="F55" s="12">
        <v>0</v>
      </c>
      <c r="G55" s="11"/>
      <c r="H55" s="13">
        <f>C55</f>
        <v>0</v>
      </c>
      <c r="I55" s="14">
        <v>0</v>
      </c>
      <c r="J55" s="14">
        <v>0</v>
      </c>
      <c r="K55" s="13">
        <f>IF(ISBLANK(C55), 0, INDIRECT("J"&amp; C55+1))</f>
        <v>0</v>
      </c>
      <c r="L55" s="9">
        <f>IF(OR(I55=0,K55=0), "good","check")</f>
        <v>0</v>
      </c>
      <c r="U55" s="3">
        <v>72</v>
      </c>
    </row>
    <row r="56" spans="1:21">
      <c r="A56" s="3" t="s">
        <v>18</v>
      </c>
      <c r="B56" s="4">
        <v>55</v>
      </c>
      <c r="C56" s="5" t="s">
        <v>19</v>
      </c>
      <c r="D56" s="6" t="s">
        <v>20</v>
      </c>
      <c r="E56" s="6"/>
      <c r="F56" s="7">
        <v>0</v>
      </c>
      <c r="G56" s="6"/>
      <c r="H56" s="4" t="s">
        <v>22</v>
      </c>
      <c r="I56" s="8">
        <f>IF(COUNTIF(Q7:Q8, 55) &gt; 0, 0 + INDIRECT("S" &amp; MATCH(55, Q7:Q8, 0) + 6), 0)</f>
        <v>0</v>
      </c>
      <c r="J56" s="8">
        <f>IF(COUNTIF(Q7:Q8, 55) &gt; 0, 4 + INDIRECT("T" &amp; MATCH(55, Q7:Q8, 0) + 6), 4)</f>
        <v>0</v>
      </c>
      <c r="K56" s="8">
        <f>IF(COUNTIF(C2:C233, 55) &gt; 0, 0, IF(COUNTIF(Q7:Q8, 55) &gt; 0, 4 + INDIRECT("T" &amp; MATCH(55, Q7:Q8, 0) + 6), 4))</f>
        <v>0</v>
      </c>
      <c r="L56" s="9">
        <f>IF(OR(I56=0,K56=0), "good","check")</f>
        <v>0</v>
      </c>
      <c r="U56" s="3">
        <v>73</v>
      </c>
    </row>
    <row r="57" spans="1:21">
      <c r="A57" s="3" t="s">
        <v>18</v>
      </c>
      <c r="B57" s="4">
        <v>56</v>
      </c>
      <c r="C57" s="5" t="s">
        <v>19</v>
      </c>
      <c r="D57" s="6" t="s">
        <v>20</v>
      </c>
      <c r="E57" s="6"/>
      <c r="F57" s="7">
        <v>0</v>
      </c>
      <c r="G57" s="6"/>
      <c r="H57" s="4" t="s">
        <v>22</v>
      </c>
      <c r="I57" s="8">
        <f>IF(COUNTIF(Q7:Q8, 56) &gt; 0, 0 + INDIRECT("S" &amp; MATCH(56, Q7:Q8, 0) + 6), 0)</f>
        <v>0</v>
      </c>
      <c r="J57" s="8">
        <f>IF(COUNTIF(Q7:Q8, 56) &gt; 0, 4 + INDIRECT("T" &amp; MATCH(56, Q7:Q8, 0) + 6), 4)</f>
        <v>0</v>
      </c>
      <c r="K57" s="8">
        <f>IF(COUNTIF(C2:C233, 56) &gt; 0, 0, IF(COUNTIF(Q7:Q8, 56) &gt; 0, 4 + INDIRECT("T" &amp; MATCH(56, Q7:Q8, 0) + 6), 4))</f>
        <v>0</v>
      </c>
      <c r="L57" s="9">
        <f>IF(OR(I57=0,K57=0), "good","check")</f>
        <v>0</v>
      </c>
      <c r="U57" s="3">
        <v>74</v>
      </c>
    </row>
    <row r="58" spans="1:21">
      <c r="A58" s="3" t="s">
        <v>18</v>
      </c>
      <c r="B58" s="4">
        <v>57</v>
      </c>
      <c r="C58" s="5" t="s">
        <v>19</v>
      </c>
      <c r="D58" s="6" t="s">
        <v>20</v>
      </c>
      <c r="E58" s="6"/>
      <c r="F58" s="7">
        <v>0</v>
      </c>
      <c r="G58" s="6"/>
      <c r="H58" s="4" t="s">
        <v>22</v>
      </c>
      <c r="I58" s="8">
        <f>IF(COUNTIF(Q7:Q8, 57) &gt; 0, 0 + INDIRECT("S" &amp; MATCH(57, Q7:Q8, 0) + 6), 0)</f>
        <v>0</v>
      </c>
      <c r="J58" s="8">
        <f>IF(COUNTIF(Q7:Q8, 57) &gt; 0, 4 + INDIRECT("T" &amp; MATCH(57, Q7:Q8, 0) + 6), 4)</f>
        <v>0</v>
      </c>
      <c r="K58" s="8">
        <f>IF(COUNTIF(C2:C233, 57) &gt; 0, 0, IF(COUNTIF(Q7:Q8, 57) &gt; 0, 4 + INDIRECT("T" &amp; MATCH(57, Q7:Q8, 0) + 6), 4))</f>
        <v>0</v>
      </c>
      <c r="L58" s="9">
        <f>IF(OR(I58=0,K58=0), "good","check")</f>
        <v>0</v>
      </c>
      <c r="U58" s="3">
        <v>76</v>
      </c>
    </row>
    <row r="59" spans="1:21">
      <c r="A59" s="10" t="s">
        <v>21</v>
      </c>
      <c r="B59" s="10">
        <v>58</v>
      </c>
      <c r="C59" s="11"/>
      <c r="D59" s="11"/>
      <c r="E59" s="11"/>
      <c r="F59" s="12">
        <v>0</v>
      </c>
      <c r="G59" s="11"/>
      <c r="H59" s="13">
        <f>C59</f>
        <v>0</v>
      </c>
      <c r="I59" s="14">
        <v>0</v>
      </c>
      <c r="J59" s="14">
        <v>0</v>
      </c>
      <c r="K59" s="13">
        <f>IF(ISBLANK(C59), 0, INDIRECT("J"&amp; C59+1))</f>
        <v>0</v>
      </c>
      <c r="L59" s="9">
        <f>IF(OR(I59=0,K59=0), "good","check")</f>
        <v>0</v>
      </c>
      <c r="U59" s="3">
        <v>77</v>
      </c>
    </row>
    <row r="60" spans="1:21">
      <c r="A60" s="3" t="s">
        <v>18</v>
      </c>
      <c r="B60" s="4">
        <v>59</v>
      </c>
      <c r="C60" s="5" t="s">
        <v>19</v>
      </c>
      <c r="D60" s="6" t="s">
        <v>20</v>
      </c>
      <c r="E60" s="6"/>
      <c r="F60" s="7">
        <v>0</v>
      </c>
      <c r="G60" s="6"/>
      <c r="H60" s="4" t="s">
        <v>22</v>
      </c>
      <c r="I60" s="8">
        <f>IF(COUNTIF(Q7:Q8, 59) &gt; 0, 0 + INDIRECT("S" &amp; MATCH(59, Q7:Q8, 0) + 6), 0)</f>
        <v>0</v>
      </c>
      <c r="J60" s="8">
        <f>IF(COUNTIF(Q7:Q8, 59) &gt; 0, 2 + INDIRECT("T" &amp; MATCH(59, Q7:Q8, 0) + 6), 2)</f>
        <v>0</v>
      </c>
      <c r="K60" s="8">
        <f>IF(COUNTIF(C2:C233, 59) &gt; 0, 0, IF(COUNTIF(Q7:Q8, 59) &gt; 0, 2 + INDIRECT("T" &amp; MATCH(59, Q7:Q8, 0) + 6), 2))</f>
        <v>0</v>
      </c>
      <c r="L60" s="9">
        <f>IF(OR(I60=0,K60=0), "good","check")</f>
        <v>0</v>
      </c>
      <c r="U60" s="3">
        <v>78</v>
      </c>
    </row>
    <row r="61" spans="1:21">
      <c r="A61" s="10" t="s">
        <v>21</v>
      </c>
      <c r="B61" s="10">
        <v>60</v>
      </c>
      <c r="C61" s="11"/>
      <c r="D61" s="11"/>
      <c r="E61" s="11"/>
      <c r="F61" s="12">
        <v>0</v>
      </c>
      <c r="G61" s="11"/>
      <c r="H61" s="13">
        <f>C61</f>
        <v>0</v>
      </c>
      <c r="I61" s="14">
        <v>0</v>
      </c>
      <c r="J61" s="14">
        <v>0</v>
      </c>
      <c r="K61" s="13">
        <f>IF(ISBLANK(C61), 0, INDIRECT("J"&amp; C61+1))</f>
        <v>0</v>
      </c>
      <c r="L61" s="9">
        <f>IF(OR(I61=0,K61=0), "good","check")</f>
        <v>0</v>
      </c>
      <c r="U61" s="3">
        <v>79</v>
      </c>
    </row>
    <row r="62" spans="1:21">
      <c r="A62" s="3" t="s">
        <v>18</v>
      </c>
      <c r="B62" s="4">
        <v>61</v>
      </c>
      <c r="C62" s="5" t="s">
        <v>19</v>
      </c>
      <c r="D62" s="6" t="s">
        <v>20</v>
      </c>
      <c r="E62" s="6"/>
      <c r="F62" s="7">
        <v>0</v>
      </c>
      <c r="G62" s="6"/>
      <c r="H62" s="4" t="s">
        <v>22</v>
      </c>
      <c r="I62" s="8">
        <f>IF(COUNTIF(Q7:Q8, 61) &gt; 0, 0 + INDIRECT("S" &amp; MATCH(61, Q7:Q8, 0) + 6), 0)</f>
        <v>0</v>
      </c>
      <c r="J62" s="8">
        <f>IF(COUNTIF(Q7:Q8, 61) &gt; 0, 4 + INDIRECT("T" &amp; MATCH(61, Q7:Q8, 0) + 6), 4)</f>
        <v>0</v>
      </c>
      <c r="K62" s="8">
        <f>IF(COUNTIF(C2:C233, 61) &gt; 0, 0, IF(COUNTIF(Q7:Q8, 61) &gt; 0, 4 + INDIRECT("T" &amp; MATCH(61, Q7:Q8, 0) + 6), 4))</f>
        <v>0</v>
      </c>
      <c r="L62" s="9">
        <f>IF(OR(I62=0,K62=0), "good","check")</f>
        <v>0</v>
      </c>
      <c r="U62" s="3">
        <v>80</v>
      </c>
    </row>
    <row r="63" spans="1:21">
      <c r="A63" s="10" t="s">
        <v>21</v>
      </c>
      <c r="B63" s="10">
        <v>62</v>
      </c>
      <c r="C63" s="11"/>
      <c r="D63" s="11"/>
      <c r="E63" s="11"/>
      <c r="F63" s="12">
        <v>0</v>
      </c>
      <c r="G63" s="11"/>
      <c r="H63" s="13">
        <f>C63</f>
        <v>0</v>
      </c>
      <c r="I63" s="14">
        <v>0</v>
      </c>
      <c r="J63" s="14">
        <v>0</v>
      </c>
      <c r="K63" s="13">
        <f>IF(ISBLANK(C63), 0, INDIRECT("J"&amp; C63+1))</f>
        <v>0</v>
      </c>
      <c r="L63" s="9">
        <f>IF(OR(I63=0,K63=0), "good","check")</f>
        <v>0</v>
      </c>
      <c r="U63" s="3">
        <v>81</v>
      </c>
    </row>
    <row r="64" spans="1:21">
      <c r="A64" s="3" t="s">
        <v>18</v>
      </c>
      <c r="B64" s="4">
        <v>63</v>
      </c>
      <c r="C64" s="5" t="s">
        <v>19</v>
      </c>
      <c r="D64" s="6" t="s">
        <v>20</v>
      </c>
      <c r="E64" s="6"/>
      <c r="F64" s="7">
        <v>0</v>
      </c>
      <c r="G64" s="6"/>
      <c r="H64" s="4" t="s">
        <v>22</v>
      </c>
      <c r="I64" s="8">
        <f>IF(COUNTIF(Q7:Q8, 63) &gt; 0, 0 + INDIRECT("S" &amp; MATCH(63, Q7:Q8, 0) + 6), 0)</f>
        <v>0</v>
      </c>
      <c r="J64" s="8">
        <f>IF(COUNTIF(Q7:Q8, 63) &gt; 0, 4 + INDIRECT("T" &amp; MATCH(63, Q7:Q8, 0) + 6), 4)</f>
        <v>0</v>
      </c>
      <c r="K64" s="8">
        <f>IF(COUNTIF(C2:C233, 63) &gt; 0, 0, IF(COUNTIF(Q7:Q8, 63) &gt; 0, 4 + INDIRECT("T" &amp; MATCH(63, Q7:Q8, 0) + 6), 4))</f>
        <v>0</v>
      </c>
      <c r="L64" s="9">
        <f>IF(OR(I64=0,K64=0), "good","check")</f>
        <v>0</v>
      </c>
      <c r="U64" s="3">
        <v>82</v>
      </c>
    </row>
    <row r="65" spans="1:21">
      <c r="A65" s="3" t="s">
        <v>18</v>
      </c>
      <c r="B65" s="4">
        <v>64</v>
      </c>
      <c r="C65" s="5" t="s">
        <v>19</v>
      </c>
      <c r="D65" s="6" t="s">
        <v>20</v>
      </c>
      <c r="E65" s="6"/>
      <c r="F65" s="7">
        <v>0</v>
      </c>
      <c r="G65" s="6"/>
      <c r="H65" s="4" t="s">
        <v>22</v>
      </c>
      <c r="I65" s="8">
        <f>IF(COUNTIF(Q7:Q8, 64) &gt; 0, 0 + INDIRECT("S" &amp; MATCH(64, Q7:Q8, 0) + 6), 0)</f>
        <v>0</v>
      </c>
      <c r="J65" s="8">
        <f>IF(COUNTIF(Q7:Q8, 64) &gt; 0, 4 + INDIRECT("T" &amp; MATCH(64, Q7:Q8, 0) + 6), 4)</f>
        <v>0</v>
      </c>
      <c r="K65" s="8">
        <f>IF(COUNTIF(C2:C233, 64) &gt; 0, 0, IF(COUNTIF(Q7:Q8, 64) &gt; 0, 4 + INDIRECT("T" &amp; MATCH(64, Q7:Q8, 0) + 6), 4))</f>
        <v>0</v>
      </c>
      <c r="L65" s="9">
        <f>IF(OR(I65=0,K65=0), "good","check")</f>
        <v>0</v>
      </c>
      <c r="U65" s="3">
        <v>83</v>
      </c>
    </row>
    <row r="66" spans="1:21">
      <c r="A66" s="10" t="s">
        <v>21</v>
      </c>
      <c r="B66" s="10">
        <v>65</v>
      </c>
      <c r="C66" s="11"/>
      <c r="D66" s="11"/>
      <c r="E66" s="11"/>
      <c r="F66" s="12">
        <v>0</v>
      </c>
      <c r="G66" s="11"/>
      <c r="H66" s="13">
        <f>C66</f>
        <v>0</v>
      </c>
      <c r="I66" s="14">
        <v>0</v>
      </c>
      <c r="J66" s="14">
        <v>0</v>
      </c>
      <c r="K66" s="13">
        <f>IF(ISBLANK(C66), 0, INDIRECT("J"&amp; C66+1))</f>
        <v>0</v>
      </c>
      <c r="L66" s="9">
        <f>IF(OR(I66=0,K66=0), "good","check")</f>
        <v>0</v>
      </c>
      <c r="U66" s="3">
        <v>84</v>
      </c>
    </row>
    <row r="67" spans="1:21">
      <c r="A67" s="3" t="s">
        <v>18</v>
      </c>
      <c r="B67" s="4">
        <v>66</v>
      </c>
      <c r="C67" s="5" t="s">
        <v>19</v>
      </c>
      <c r="D67" s="6" t="s">
        <v>20</v>
      </c>
      <c r="E67" s="6"/>
      <c r="F67" s="7">
        <v>0</v>
      </c>
      <c r="G67" s="6"/>
      <c r="H67" s="4" t="s">
        <v>22</v>
      </c>
      <c r="I67" s="8">
        <f>IF(COUNTIF(Q7:Q8, 66) &gt; 0, 0 + INDIRECT("S" &amp; MATCH(66, Q7:Q8, 0) + 6), 0)</f>
        <v>0</v>
      </c>
      <c r="J67" s="8">
        <f>IF(COUNTIF(Q7:Q8, 66) &gt; 0, 4 + INDIRECT("T" &amp; MATCH(66, Q7:Q8, 0) + 6), 4)</f>
        <v>0</v>
      </c>
      <c r="K67" s="8">
        <f>IF(COUNTIF(C2:C233, 66) &gt; 0, 0, IF(COUNTIF(Q7:Q8, 66) &gt; 0, 4 + INDIRECT("T" &amp; MATCH(66, Q7:Q8, 0) + 6), 4))</f>
        <v>0</v>
      </c>
      <c r="L67" s="9">
        <f>IF(OR(I67=0,K67=0), "good","check")</f>
        <v>0</v>
      </c>
      <c r="U67" s="3">
        <v>85</v>
      </c>
    </row>
    <row r="68" spans="1:21">
      <c r="A68" s="3" t="s">
        <v>18</v>
      </c>
      <c r="B68" s="4">
        <v>67</v>
      </c>
      <c r="C68" s="5" t="s">
        <v>19</v>
      </c>
      <c r="D68" s="6" t="s">
        <v>20</v>
      </c>
      <c r="E68" s="6"/>
      <c r="F68" s="7">
        <v>0</v>
      </c>
      <c r="G68" s="6"/>
      <c r="H68" s="4" t="s">
        <v>22</v>
      </c>
      <c r="I68" s="8">
        <f>IF(COUNTIF(Q7:Q8, 67) &gt; 0, 0 + INDIRECT("S" &amp; MATCH(67, Q7:Q8, 0) + 6), 0)</f>
        <v>0</v>
      </c>
      <c r="J68" s="8">
        <f>IF(COUNTIF(Q7:Q8, 67) &gt; 0, 5 + INDIRECT("T" &amp; MATCH(67, Q7:Q8, 0) + 6), 5)</f>
        <v>0</v>
      </c>
      <c r="K68" s="8">
        <f>IF(COUNTIF(C2:C233, 67) &gt; 0, 0, IF(COUNTIF(Q7:Q8, 67) &gt; 0, 5 + INDIRECT("T" &amp; MATCH(67, Q7:Q8, 0) + 6), 5))</f>
        <v>0</v>
      </c>
      <c r="L68" s="9">
        <f>IF(OR(I68=0,K68=0), "good","check")</f>
        <v>0</v>
      </c>
      <c r="U68" s="3">
        <v>86</v>
      </c>
    </row>
    <row r="69" spans="1:21">
      <c r="A69" s="10" t="s">
        <v>21</v>
      </c>
      <c r="B69" s="10">
        <v>68</v>
      </c>
      <c r="C69" s="11"/>
      <c r="D69" s="11"/>
      <c r="E69" s="11"/>
      <c r="F69" s="12">
        <v>0</v>
      </c>
      <c r="G69" s="11"/>
      <c r="H69" s="13">
        <f>C69</f>
        <v>0</v>
      </c>
      <c r="I69" s="14">
        <v>0</v>
      </c>
      <c r="J69" s="14">
        <v>0</v>
      </c>
      <c r="K69" s="13">
        <f>IF(ISBLANK(C69), 0, INDIRECT("J"&amp; C69+1))</f>
        <v>0</v>
      </c>
      <c r="L69" s="9">
        <f>IF(OR(I69=0,K69=0), "good","check")</f>
        <v>0</v>
      </c>
      <c r="U69" s="3">
        <v>87</v>
      </c>
    </row>
    <row r="70" spans="1:21">
      <c r="A70" s="3" t="s">
        <v>18</v>
      </c>
      <c r="B70" s="4">
        <v>69</v>
      </c>
      <c r="C70" s="5" t="s">
        <v>19</v>
      </c>
      <c r="D70" s="6" t="s">
        <v>20</v>
      </c>
      <c r="E70" s="6"/>
      <c r="F70" s="7">
        <v>0</v>
      </c>
      <c r="G70" s="6"/>
      <c r="H70" s="4" t="s">
        <v>22</v>
      </c>
      <c r="I70" s="8">
        <f>IF(COUNTIF(Q7:Q8, 69) &gt; 0, 0 + INDIRECT("S" &amp; MATCH(69, Q7:Q8, 0) + 6), 0)</f>
        <v>0</v>
      </c>
      <c r="J70" s="8">
        <f>IF(COUNTIF(Q7:Q8, 69) &gt; 0, 4 + INDIRECT("T" &amp; MATCH(69, Q7:Q8, 0) + 6), 4)</f>
        <v>0</v>
      </c>
      <c r="K70" s="8">
        <f>IF(COUNTIF(C2:C233, 69) &gt; 0, 0, IF(COUNTIF(Q7:Q8, 69) &gt; 0, 4 + INDIRECT("T" &amp; MATCH(69, Q7:Q8, 0) + 6), 4))</f>
        <v>0</v>
      </c>
      <c r="L70" s="9">
        <f>IF(OR(I70=0,K70=0), "good","check")</f>
        <v>0</v>
      </c>
      <c r="U70" s="3">
        <v>88</v>
      </c>
    </row>
    <row r="71" spans="1:21">
      <c r="A71" s="3" t="s">
        <v>18</v>
      </c>
      <c r="B71" s="4">
        <v>70</v>
      </c>
      <c r="C71" s="5" t="s">
        <v>19</v>
      </c>
      <c r="D71" s="6" t="s">
        <v>20</v>
      </c>
      <c r="E71" s="6"/>
      <c r="F71" s="7">
        <v>0</v>
      </c>
      <c r="G71" s="6"/>
      <c r="H71" s="4" t="s">
        <v>22</v>
      </c>
      <c r="I71" s="8">
        <f>IF(COUNTIF(Q7:Q8, 70) &gt; 0, 0 + INDIRECT("S" &amp; MATCH(70, Q7:Q8, 0) + 6), 0)</f>
        <v>0</v>
      </c>
      <c r="J71" s="8">
        <f>IF(COUNTIF(Q7:Q8, 70) &gt; 0, 4 + INDIRECT("T" &amp; MATCH(70, Q7:Q8, 0) + 6), 4)</f>
        <v>0</v>
      </c>
      <c r="K71" s="8">
        <f>IF(COUNTIF(C2:C233, 70) &gt; 0, 0, IF(COUNTIF(Q7:Q8, 70) &gt; 0, 4 + INDIRECT("T" &amp; MATCH(70, Q7:Q8, 0) + 6), 4))</f>
        <v>0</v>
      </c>
      <c r="L71" s="9">
        <f>IF(OR(I71=0,K71=0), "good","check")</f>
        <v>0</v>
      </c>
      <c r="U71" s="3">
        <v>89</v>
      </c>
    </row>
    <row r="72" spans="1:21">
      <c r="A72" s="3" t="s">
        <v>18</v>
      </c>
      <c r="B72" s="4">
        <v>71</v>
      </c>
      <c r="C72" s="5" t="s">
        <v>19</v>
      </c>
      <c r="D72" s="6" t="s">
        <v>20</v>
      </c>
      <c r="E72" s="6"/>
      <c r="F72" s="7">
        <v>0</v>
      </c>
      <c r="G72" s="6"/>
      <c r="H72" s="4" t="s">
        <v>22</v>
      </c>
      <c r="I72" s="8">
        <f>IF(COUNTIF(Q7:Q8, 71) &gt; 0, 0 + INDIRECT("S" &amp; MATCH(71, Q7:Q8, 0) + 6), 0)</f>
        <v>0</v>
      </c>
      <c r="J72" s="8">
        <f>IF(COUNTIF(Q7:Q8, 71) &gt; 0, 6 + INDIRECT("T" &amp; MATCH(71, Q7:Q8, 0) + 6), 6)</f>
        <v>0</v>
      </c>
      <c r="K72" s="8">
        <f>IF(COUNTIF(C2:C233, 71) &gt; 0, 0, IF(COUNTIF(Q7:Q8, 71) &gt; 0, 6 + INDIRECT("T" &amp; MATCH(71, Q7:Q8, 0) + 6), 6))</f>
        <v>0</v>
      </c>
      <c r="L72" s="9">
        <f>IF(OR(I72=0,K72=0), "good","check")</f>
        <v>0</v>
      </c>
      <c r="U72" s="3">
        <v>90</v>
      </c>
    </row>
    <row r="73" spans="1:21">
      <c r="A73" s="3" t="s">
        <v>18</v>
      </c>
      <c r="B73" s="4">
        <v>72</v>
      </c>
      <c r="C73" s="5" t="s">
        <v>19</v>
      </c>
      <c r="D73" s="6" t="s">
        <v>20</v>
      </c>
      <c r="E73" s="6"/>
      <c r="F73" s="7">
        <v>0</v>
      </c>
      <c r="G73" s="6"/>
      <c r="H73" s="4" t="s">
        <v>22</v>
      </c>
      <c r="I73" s="8">
        <f>IF(COUNTIF(Q7:Q8, 72) &gt; 0, 0 + INDIRECT("S" &amp; MATCH(72, Q7:Q8, 0) + 6), 0)</f>
        <v>0</v>
      </c>
      <c r="J73" s="8">
        <f>IF(COUNTIF(Q7:Q8, 72) &gt; 0, 1 + INDIRECT("T" &amp; MATCH(72, Q7:Q8, 0) + 6), 1)</f>
        <v>0</v>
      </c>
      <c r="K73" s="8">
        <f>IF(COUNTIF(C2:C233, 72) &gt; 0, 0, IF(COUNTIF(Q7:Q8, 72) &gt; 0, 1 + INDIRECT("T" &amp; MATCH(72, Q7:Q8, 0) + 6), 1))</f>
        <v>0</v>
      </c>
      <c r="L73" s="9">
        <f>IF(OR(I73=0,K73=0), "good","check")</f>
        <v>0</v>
      </c>
      <c r="U73" s="3">
        <v>91</v>
      </c>
    </row>
    <row r="74" spans="1:21">
      <c r="A74" s="3" t="s">
        <v>18</v>
      </c>
      <c r="B74" s="4">
        <v>73</v>
      </c>
      <c r="C74" s="5" t="s">
        <v>19</v>
      </c>
      <c r="D74" s="6" t="s">
        <v>20</v>
      </c>
      <c r="E74" s="6"/>
      <c r="F74" s="7">
        <v>0</v>
      </c>
      <c r="G74" s="6"/>
      <c r="H74" s="4" t="s">
        <v>22</v>
      </c>
      <c r="I74" s="8">
        <f>IF(COUNTIF(Q7:Q8, 73) &gt; 0, 0 + INDIRECT("S" &amp; MATCH(73, Q7:Q8, 0) + 6), 0)</f>
        <v>0</v>
      </c>
      <c r="J74" s="8">
        <f>IF(COUNTIF(Q7:Q8, 73) &gt; 0, 4 + INDIRECT("T" &amp; MATCH(73, Q7:Q8, 0) + 6), 4)</f>
        <v>0</v>
      </c>
      <c r="K74" s="8">
        <f>IF(COUNTIF(C2:C233, 73) &gt; 0, 0, IF(COUNTIF(Q7:Q8, 73) &gt; 0, 4 + INDIRECT("T" &amp; MATCH(73, Q7:Q8, 0) + 6), 4))</f>
        <v>0</v>
      </c>
      <c r="L74" s="9">
        <f>IF(OR(I74=0,K74=0), "good","check")</f>
        <v>0</v>
      </c>
      <c r="U74" s="3">
        <v>92</v>
      </c>
    </row>
    <row r="75" spans="1:21">
      <c r="A75" s="3" t="s">
        <v>18</v>
      </c>
      <c r="B75" s="4">
        <v>74</v>
      </c>
      <c r="C75" s="5" t="s">
        <v>19</v>
      </c>
      <c r="D75" s="6" t="s">
        <v>20</v>
      </c>
      <c r="E75" s="6"/>
      <c r="F75" s="7">
        <v>0</v>
      </c>
      <c r="G75" s="6"/>
      <c r="H75" s="4" t="s">
        <v>22</v>
      </c>
      <c r="I75" s="8">
        <f>IF(COUNTIF(Q7:Q8, 74) &gt; 0, 1 + INDIRECT("S" &amp; MATCH(74, Q7:Q8, 0) + 6), 1)</f>
        <v>0</v>
      </c>
      <c r="J75" s="8">
        <f>IF(COUNTIF(Q7:Q8, 74) &gt; 0, 1 + INDIRECT("T" &amp; MATCH(74, Q7:Q8, 0) + 6), 1)</f>
        <v>0</v>
      </c>
      <c r="K75" s="8">
        <f>IF(COUNTIF(C2:C233, 74) &gt; 0, 0, IF(COUNTIF(Q7:Q8, 74) &gt; 0, 1 + INDIRECT("T" &amp; MATCH(74, Q7:Q8, 0) + 6), 1))</f>
        <v>0</v>
      </c>
      <c r="L75" s="9">
        <f>IF(OR(I75=0,K75=0), "good","check")</f>
        <v>0</v>
      </c>
      <c r="U75" s="3">
        <v>93</v>
      </c>
    </row>
    <row r="76" spans="1:21">
      <c r="A76" s="10" t="s">
        <v>21</v>
      </c>
      <c r="B76" s="10">
        <v>75</v>
      </c>
      <c r="C76" s="11"/>
      <c r="D76" s="11"/>
      <c r="E76" s="11"/>
      <c r="F76" s="12">
        <v>0</v>
      </c>
      <c r="G76" s="11"/>
      <c r="H76" s="13">
        <f>C76</f>
        <v>0</v>
      </c>
      <c r="I76" s="14">
        <v>0</v>
      </c>
      <c r="J76" s="14">
        <v>0</v>
      </c>
      <c r="K76" s="13">
        <f>IF(ISBLANK(C76), 0, INDIRECT("J"&amp; C76+1))</f>
        <v>0</v>
      </c>
      <c r="L76" s="9">
        <f>IF(OR(I76=0,K76=0), "good","check")</f>
        <v>0</v>
      </c>
      <c r="U76" s="3">
        <v>94</v>
      </c>
    </row>
    <row r="77" spans="1:21">
      <c r="A77" s="3" t="s">
        <v>18</v>
      </c>
      <c r="B77" s="4">
        <v>76</v>
      </c>
      <c r="C77" s="5" t="s">
        <v>19</v>
      </c>
      <c r="D77" s="6" t="s">
        <v>20</v>
      </c>
      <c r="E77" s="6"/>
      <c r="F77" s="7">
        <v>0</v>
      </c>
      <c r="G77" s="6"/>
      <c r="H77" s="4" t="s">
        <v>22</v>
      </c>
      <c r="I77" s="8">
        <f>IF(COUNTIF(Q7:Q8, 76) &gt; 0, 1 + INDIRECT("S" &amp; MATCH(76, Q7:Q8, 0) + 6), 1)</f>
        <v>0</v>
      </c>
      <c r="J77" s="8">
        <f>IF(COUNTIF(Q7:Q8, 76) &gt; 0, 3 + INDIRECT("T" &amp; MATCH(76, Q7:Q8, 0) + 6), 3)</f>
        <v>0</v>
      </c>
      <c r="K77" s="8">
        <f>IF(COUNTIF(C2:C233, 76) &gt; 0, 0, IF(COUNTIF(Q7:Q8, 76) &gt; 0, 3 + INDIRECT("T" &amp; MATCH(76, Q7:Q8, 0) + 6), 3))</f>
        <v>0</v>
      </c>
      <c r="L77" s="9">
        <f>IF(OR(I77=0,K77=0), "good","check")</f>
        <v>0</v>
      </c>
      <c r="U77" s="3">
        <v>95</v>
      </c>
    </row>
    <row r="78" spans="1:21">
      <c r="A78" s="3" t="s">
        <v>18</v>
      </c>
      <c r="B78" s="4">
        <v>77</v>
      </c>
      <c r="C78" s="5" t="s">
        <v>19</v>
      </c>
      <c r="D78" s="6" t="s">
        <v>20</v>
      </c>
      <c r="E78" s="6"/>
      <c r="F78" s="7">
        <v>0</v>
      </c>
      <c r="G78" s="6"/>
      <c r="H78" s="4" t="s">
        <v>22</v>
      </c>
      <c r="I78" s="8">
        <f>IF(COUNTIF(Q7:Q8, 77) &gt; 0, 1 + INDIRECT("S" &amp; MATCH(77, Q7:Q8, 0) + 6), 1)</f>
        <v>0</v>
      </c>
      <c r="J78" s="8">
        <f>IF(COUNTIF(Q7:Q8, 77) &gt; 0, 3 + INDIRECT("T" &amp; MATCH(77, Q7:Q8, 0) + 6), 3)</f>
        <v>0</v>
      </c>
      <c r="K78" s="8">
        <f>IF(COUNTIF(C2:C233, 77) &gt; 0, 0, IF(COUNTIF(Q7:Q8, 77) &gt; 0, 3 + INDIRECT("T" &amp; MATCH(77, Q7:Q8, 0) + 6), 3))</f>
        <v>0</v>
      </c>
      <c r="L78" s="9">
        <f>IF(OR(I78=0,K78=0), "good","check")</f>
        <v>0</v>
      </c>
      <c r="U78" s="3">
        <v>96</v>
      </c>
    </row>
    <row r="79" spans="1:21">
      <c r="A79" s="3" t="s">
        <v>18</v>
      </c>
      <c r="B79" s="4">
        <v>78</v>
      </c>
      <c r="C79" s="5" t="s">
        <v>19</v>
      </c>
      <c r="D79" s="6" t="s">
        <v>20</v>
      </c>
      <c r="E79" s="6"/>
      <c r="F79" s="7">
        <v>0</v>
      </c>
      <c r="G79" s="6"/>
      <c r="H79" s="4" t="s">
        <v>22</v>
      </c>
      <c r="I79" s="8">
        <f>IF(COUNTIF(Q7:Q8, 78) &gt; 0, 1 + INDIRECT("S" &amp; MATCH(78, Q7:Q8, 0) + 6), 1)</f>
        <v>0</v>
      </c>
      <c r="J79" s="8">
        <f>IF(COUNTIF(Q7:Q8, 78) &gt; 0, 1 + INDIRECT("T" &amp; MATCH(78, Q7:Q8, 0) + 6), 1)</f>
        <v>0</v>
      </c>
      <c r="K79" s="8">
        <f>IF(COUNTIF(C2:C233, 78) &gt; 0, 0, IF(COUNTIF(Q7:Q8, 78) &gt; 0, 1 + INDIRECT("T" &amp; MATCH(78, Q7:Q8, 0) + 6), 1))</f>
        <v>0</v>
      </c>
      <c r="L79" s="9">
        <f>IF(OR(I79=0,K79=0), "good","check")</f>
        <v>0</v>
      </c>
      <c r="U79" s="3">
        <v>97</v>
      </c>
    </row>
    <row r="80" spans="1:21">
      <c r="A80" s="3" t="s">
        <v>18</v>
      </c>
      <c r="B80" s="4">
        <v>79</v>
      </c>
      <c r="C80" s="5" t="s">
        <v>19</v>
      </c>
      <c r="D80" s="6" t="s">
        <v>20</v>
      </c>
      <c r="E80" s="6"/>
      <c r="F80" s="7">
        <v>0</v>
      </c>
      <c r="G80" s="6"/>
      <c r="H80" s="4" t="s">
        <v>22</v>
      </c>
      <c r="I80" s="8">
        <f>IF(COUNTIF(Q7:Q8, 79) &gt; 0, 1 + INDIRECT("S" &amp; MATCH(79, Q7:Q8, 0) + 6), 1)</f>
        <v>0</v>
      </c>
      <c r="J80" s="8">
        <f>IF(COUNTIF(Q7:Q8, 79) &gt; 0, 1 + INDIRECT("T" &amp; MATCH(79, Q7:Q8, 0) + 6), 1)</f>
        <v>0</v>
      </c>
      <c r="K80" s="8">
        <f>IF(COUNTIF(C2:C233, 79) &gt; 0, 0, IF(COUNTIF(Q7:Q8, 79) &gt; 0, 1 + INDIRECT("T" &amp; MATCH(79, Q7:Q8, 0) + 6), 1))</f>
        <v>0</v>
      </c>
      <c r="L80" s="9">
        <f>IF(OR(I80=0,K80=0), "good","check")</f>
        <v>0</v>
      </c>
      <c r="U80" s="3">
        <v>98</v>
      </c>
    </row>
    <row r="81" spans="1:21">
      <c r="A81" s="3" t="s">
        <v>18</v>
      </c>
      <c r="B81" s="4">
        <v>80</v>
      </c>
      <c r="C81" s="5" t="s">
        <v>19</v>
      </c>
      <c r="D81" s="6" t="s">
        <v>20</v>
      </c>
      <c r="E81" s="6"/>
      <c r="F81" s="7">
        <v>0</v>
      </c>
      <c r="G81" s="6"/>
      <c r="H81" s="4" t="s">
        <v>22</v>
      </c>
      <c r="I81" s="8">
        <f>IF(COUNTIF(Q7:Q8, 80) &gt; 0, 1 + INDIRECT("S" &amp; MATCH(80, Q7:Q8, 0) + 6), 1)</f>
        <v>0</v>
      </c>
      <c r="J81" s="8">
        <f>IF(COUNTIF(Q7:Q8, 80) &gt; 0, 1 + INDIRECT("T" &amp; MATCH(80, Q7:Q8, 0) + 6), 1)</f>
        <v>0</v>
      </c>
      <c r="K81" s="8">
        <f>IF(COUNTIF(C2:C233, 80) &gt; 0, 0, IF(COUNTIF(Q7:Q8, 80) &gt; 0, 1 + INDIRECT("T" &amp; MATCH(80, Q7:Q8, 0) + 6), 1))</f>
        <v>0</v>
      </c>
      <c r="L81" s="9">
        <f>IF(OR(I81=0,K81=0), "good","check")</f>
        <v>0</v>
      </c>
      <c r="U81" s="3">
        <v>99</v>
      </c>
    </row>
    <row r="82" spans="1:21">
      <c r="A82" s="3" t="s">
        <v>18</v>
      </c>
      <c r="B82" s="4">
        <v>81</v>
      </c>
      <c r="C82" s="5" t="s">
        <v>19</v>
      </c>
      <c r="D82" s="6" t="s">
        <v>20</v>
      </c>
      <c r="E82" s="6"/>
      <c r="F82" s="7">
        <v>0</v>
      </c>
      <c r="G82" s="6"/>
      <c r="H82" s="4" t="s">
        <v>22</v>
      </c>
      <c r="I82" s="8">
        <f>IF(COUNTIF(Q7:Q8, 81) &gt; 0, 1 + INDIRECT("S" &amp; MATCH(81, Q7:Q8, 0) + 6), 1)</f>
        <v>0</v>
      </c>
      <c r="J82" s="8">
        <f>IF(COUNTIF(Q7:Q8, 81) &gt; 0, 1 + INDIRECT("T" &amp; MATCH(81, Q7:Q8, 0) + 6), 1)</f>
        <v>0</v>
      </c>
      <c r="K82" s="8">
        <f>IF(COUNTIF(C2:C233, 81) &gt; 0, 0, IF(COUNTIF(Q7:Q8, 81) &gt; 0, 1 + INDIRECT("T" &amp; MATCH(81, Q7:Q8, 0) + 6), 1))</f>
        <v>0</v>
      </c>
      <c r="L82" s="9">
        <f>IF(OR(I82=0,K82=0), "good","check")</f>
        <v>0</v>
      </c>
      <c r="U82" s="3">
        <v>100</v>
      </c>
    </row>
    <row r="83" spans="1:21">
      <c r="A83" s="3" t="s">
        <v>18</v>
      </c>
      <c r="B83" s="4">
        <v>82</v>
      </c>
      <c r="C83" s="5" t="s">
        <v>19</v>
      </c>
      <c r="D83" s="6" t="s">
        <v>20</v>
      </c>
      <c r="E83" s="6"/>
      <c r="F83" s="7">
        <v>0</v>
      </c>
      <c r="G83" s="6"/>
      <c r="H83" s="4" t="s">
        <v>22</v>
      </c>
      <c r="I83" s="8">
        <f>IF(COUNTIF(Q7:Q8, 82) &gt; 0, 1 + INDIRECT("S" &amp; MATCH(82, Q7:Q8, 0) + 6), 1)</f>
        <v>0</v>
      </c>
      <c r="J83" s="8">
        <f>IF(COUNTIF(Q7:Q8, 82) &gt; 0, 1 + INDIRECT("T" &amp; MATCH(82, Q7:Q8, 0) + 6), 1)</f>
        <v>0</v>
      </c>
      <c r="K83" s="8">
        <f>IF(COUNTIF(C2:C233, 82) &gt; 0, 0, IF(COUNTIF(Q7:Q8, 82) &gt; 0, 1 + INDIRECT("T" &amp; MATCH(82, Q7:Q8, 0) + 6), 1))</f>
        <v>0</v>
      </c>
      <c r="L83" s="9">
        <f>IF(OR(I83=0,K83=0), "good","check")</f>
        <v>0</v>
      </c>
      <c r="U83" s="3">
        <v>101</v>
      </c>
    </row>
    <row r="84" spans="1:21">
      <c r="A84" s="3" t="s">
        <v>18</v>
      </c>
      <c r="B84" s="4">
        <v>83</v>
      </c>
      <c r="C84" s="5" t="s">
        <v>19</v>
      </c>
      <c r="D84" s="6" t="s">
        <v>20</v>
      </c>
      <c r="E84" s="6"/>
      <c r="F84" s="7">
        <v>0</v>
      </c>
      <c r="G84" s="6"/>
      <c r="H84" s="4" t="s">
        <v>22</v>
      </c>
      <c r="I84" s="8">
        <f>IF(COUNTIF(Q7:Q8, 83) &gt; 0, 1 + INDIRECT("S" &amp; MATCH(83, Q7:Q8, 0) + 6), 1)</f>
        <v>0</v>
      </c>
      <c r="J84" s="8">
        <f>IF(COUNTIF(Q7:Q8, 83) &gt; 0, 1 + INDIRECT("T" &amp; MATCH(83, Q7:Q8, 0) + 6), 1)</f>
        <v>0</v>
      </c>
      <c r="K84" s="8">
        <f>IF(COUNTIF(C2:C233, 83) &gt; 0, 0, IF(COUNTIF(Q7:Q8, 83) &gt; 0, 1 + INDIRECT("T" &amp; MATCH(83, Q7:Q8, 0) + 6), 1))</f>
        <v>0</v>
      </c>
      <c r="L84" s="9">
        <f>IF(OR(I84=0,K84=0), "good","check")</f>
        <v>0</v>
      </c>
      <c r="U84" s="3">
        <v>102</v>
      </c>
    </row>
    <row r="85" spans="1:21">
      <c r="A85" s="3" t="s">
        <v>18</v>
      </c>
      <c r="B85" s="4">
        <v>84</v>
      </c>
      <c r="C85" s="5" t="s">
        <v>19</v>
      </c>
      <c r="D85" s="6" t="s">
        <v>20</v>
      </c>
      <c r="E85" s="6"/>
      <c r="F85" s="7">
        <v>0</v>
      </c>
      <c r="G85" s="6"/>
      <c r="H85" s="4" t="s">
        <v>22</v>
      </c>
      <c r="I85" s="8">
        <f>IF(COUNTIF(Q7:Q8, 84) &gt; 0, 1 + INDIRECT("S" &amp; MATCH(84, Q7:Q8, 0) + 6), 1)</f>
        <v>0</v>
      </c>
      <c r="J85" s="8">
        <f>IF(COUNTIF(Q7:Q8, 84) &gt; 0, 1 + INDIRECT("T" &amp; MATCH(84, Q7:Q8, 0) + 6), 1)</f>
        <v>0</v>
      </c>
      <c r="K85" s="8">
        <f>IF(COUNTIF(C2:C233, 84) &gt; 0, 0, IF(COUNTIF(Q7:Q8, 84) &gt; 0, 1 + INDIRECT("T" &amp; MATCH(84, Q7:Q8, 0) + 6), 1))</f>
        <v>0</v>
      </c>
      <c r="L85" s="9">
        <f>IF(OR(I85=0,K85=0), "good","check")</f>
        <v>0</v>
      </c>
      <c r="U85" s="3">
        <v>103</v>
      </c>
    </row>
    <row r="86" spans="1:21">
      <c r="A86" s="3" t="s">
        <v>18</v>
      </c>
      <c r="B86" s="4">
        <v>85</v>
      </c>
      <c r="C86" s="5" t="s">
        <v>19</v>
      </c>
      <c r="D86" s="6" t="s">
        <v>20</v>
      </c>
      <c r="E86" s="6"/>
      <c r="F86" s="7">
        <v>0</v>
      </c>
      <c r="G86" s="6"/>
      <c r="H86" s="4" t="s">
        <v>22</v>
      </c>
      <c r="I86" s="8">
        <f>IF(COUNTIF(Q7:Q8, 85) &gt; 0, 1 + INDIRECT("S" &amp; MATCH(85, Q7:Q8, 0) + 6), 1)</f>
        <v>0</v>
      </c>
      <c r="J86" s="8">
        <f>IF(COUNTIF(Q7:Q8, 85) &gt; 0, 1 + INDIRECT("T" &amp; MATCH(85, Q7:Q8, 0) + 6), 1)</f>
        <v>0</v>
      </c>
      <c r="K86" s="8">
        <f>IF(COUNTIF(C2:C233, 85) &gt; 0, 0, IF(COUNTIF(Q7:Q8, 85) &gt; 0, 1 + INDIRECT("T" &amp; MATCH(85, Q7:Q8, 0) + 6), 1))</f>
        <v>0</v>
      </c>
      <c r="L86" s="9">
        <f>IF(OR(I86=0,K86=0), "good","check")</f>
        <v>0</v>
      </c>
      <c r="U86" s="3">
        <v>104</v>
      </c>
    </row>
    <row r="87" spans="1:21">
      <c r="A87" s="3" t="s">
        <v>18</v>
      </c>
      <c r="B87" s="4">
        <v>86</v>
      </c>
      <c r="C87" s="5" t="s">
        <v>19</v>
      </c>
      <c r="D87" s="6" t="s">
        <v>20</v>
      </c>
      <c r="E87" s="6"/>
      <c r="F87" s="7">
        <v>0</v>
      </c>
      <c r="G87" s="6"/>
      <c r="H87" s="4" t="s">
        <v>22</v>
      </c>
      <c r="I87" s="8">
        <f>IF(COUNTIF(Q7:Q8, 86) &gt; 0, 1 + INDIRECT("S" &amp; MATCH(86, Q7:Q8, 0) + 6), 1)</f>
        <v>0</v>
      </c>
      <c r="J87" s="8">
        <f>IF(COUNTIF(Q7:Q8, 86) &gt; 0, 2 + INDIRECT("T" &amp; MATCH(86, Q7:Q8, 0) + 6), 2)</f>
        <v>0</v>
      </c>
      <c r="K87" s="8">
        <f>IF(COUNTIF(C2:C233, 86) &gt; 0, 0, IF(COUNTIF(Q7:Q8, 86) &gt; 0, 2 + INDIRECT("T" &amp; MATCH(86, Q7:Q8, 0) + 6), 2))</f>
        <v>0</v>
      </c>
      <c r="L87" s="9">
        <f>IF(OR(I87=0,K87=0), "good","check")</f>
        <v>0</v>
      </c>
      <c r="U87" s="3">
        <v>105</v>
      </c>
    </row>
    <row r="88" spans="1:21">
      <c r="A88" s="3" t="s">
        <v>18</v>
      </c>
      <c r="B88" s="4">
        <v>87</v>
      </c>
      <c r="C88" s="5" t="s">
        <v>19</v>
      </c>
      <c r="D88" s="6" t="s">
        <v>20</v>
      </c>
      <c r="E88" s="6"/>
      <c r="F88" s="7">
        <v>0</v>
      </c>
      <c r="G88" s="6"/>
      <c r="H88" s="4" t="s">
        <v>22</v>
      </c>
      <c r="I88" s="8">
        <f>IF(COUNTIF(Q7:Q8, 87) &gt; 0, 1 + INDIRECT("S" &amp; MATCH(87, Q7:Q8, 0) + 6), 1)</f>
        <v>0</v>
      </c>
      <c r="J88" s="8">
        <f>IF(COUNTIF(Q7:Q8, 87) &gt; 0, 2 + INDIRECT("T" &amp; MATCH(87, Q7:Q8, 0) + 6), 2)</f>
        <v>0</v>
      </c>
      <c r="K88" s="8">
        <f>IF(COUNTIF(C2:C233, 87) &gt; 0, 0, IF(COUNTIF(Q7:Q8, 87) &gt; 0, 2 + INDIRECT("T" &amp; MATCH(87, Q7:Q8, 0) + 6), 2))</f>
        <v>0</v>
      </c>
      <c r="L88" s="9">
        <f>IF(OR(I88=0,K88=0), "good","check")</f>
        <v>0</v>
      </c>
      <c r="U88" s="3">
        <v>106</v>
      </c>
    </row>
    <row r="89" spans="1:21">
      <c r="A89" s="3" t="s">
        <v>18</v>
      </c>
      <c r="B89" s="4">
        <v>88</v>
      </c>
      <c r="C89" s="5" t="s">
        <v>19</v>
      </c>
      <c r="D89" s="6" t="s">
        <v>20</v>
      </c>
      <c r="E89" s="6"/>
      <c r="F89" s="7">
        <v>0</v>
      </c>
      <c r="G89" s="6"/>
      <c r="H89" s="4" t="s">
        <v>22</v>
      </c>
      <c r="I89" s="8">
        <f>IF(COUNTIF(Q7:Q8, 88) &gt; 0, 1 + INDIRECT("S" &amp; MATCH(88, Q7:Q8, 0) + 6), 1)</f>
        <v>0</v>
      </c>
      <c r="J89" s="8">
        <f>IF(COUNTIF(Q7:Q8, 88) &gt; 0, 1 + INDIRECT("T" &amp; MATCH(88, Q7:Q8, 0) + 6), 1)</f>
        <v>0</v>
      </c>
      <c r="K89" s="8">
        <f>IF(COUNTIF(C2:C233, 88) &gt; 0, 0, IF(COUNTIF(Q7:Q8, 88) &gt; 0, 1 + INDIRECT("T" &amp; MATCH(88, Q7:Q8, 0) + 6), 1))</f>
        <v>0</v>
      </c>
      <c r="L89" s="9">
        <f>IF(OR(I89=0,K89=0), "good","check")</f>
        <v>0</v>
      </c>
      <c r="U89" s="3">
        <v>107</v>
      </c>
    </row>
    <row r="90" spans="1:21">
      <c r="A90" s="3" t="s">
        <v>18</v>
      </c>
      <c r="B90" s="4">
        <v>89</v>
      </c>
      <c r="C90" s="5" t="s">
        <v>19</v>
      </c>
      <c r="D90" s="6" t="s">
        <v>20</v>
      </c>
      <c r="E90" s="6"/>
      <c r="F90" s="7">
        <v>0</v>
      </c>
      <c r="G90" s="6"/>
      <c r="H90" s="4" t="s">
        <v>22</v>
      </c>
      <c r="I90" s="8">
        <f>IF(COUNTIF(Q7:Q8, 89) &gt; 0, 1 + INDIRECT("S" &amp; MATCH(89, Q7:Q8, 0) + 6), 1)</f>
        <v>0</v>
      </c>
      <c r="J90" s="8">
        <f>IF(COUNTIF(Q7:Q8, 89) &gt; 0, 1 + INDIRECT("T" &amp; MATCH(89, Q7:Q8, 0) + 6), 1)</f>
        <v>0</v>
      </c>
      <c r="K90" s="8">
        <f>IF(COUNTIF(C2:C233, 89) &gt; 0, 0, IF(COUNTIF(Q7:Q8, 89) &gt; 0, 1 + INDIRECT("T" &amp; MATCH(89, Q7:Q8, 0) + 6), 1))</f>
        <v>0</v>
      </c>
      <c r="L90" s="9">
        <f>IF(OR(I90=0,K90=0), "good","check")</f>
        <v>0</v>
      </c>
      <c r="U90" s="3">
        <v>108</v>
      </c>
    </row>
    <row r="91" spans="1:21">
      <c r="A91" s="3" t="s">
        <v>18</v>
      </c>
      <c r="B91" s="4">
        <v>90</v>
      </c>
      <c r="C91" s="5" t="s">
        <v>19</v>
      </c>
      <c r="D91" s="6" t="s">
        <v>20</v>
      </c>
      <c r="E91" s="6"/>
      <c r="F91" s="7">
        <v>0</v>
      </c>
      <c r="G91" s="6"/>
      <c r="H91" s="4" t="s">
        <v>22</v>
      </c>
      <c r="I91" s="8">
        <f>IF(COUNTIF(Q7:Q8, 90) &gt; 0, 1 + INDIRECT("S" &amp; MATCH(90, Q7:Q8, 0) + 6), 1)</f>
        <v>0</v>
      </c>
      <c r="J91" s="8">
        <f>IF(COUNTIF(Q7:Q8, 90) &gt; 0, 1 + INDIRECT("T" &amp; MATCH(90, Q7:Q8, 0) + 6), 1)</f>
        <v>0</v>
      </c>
      <c r="K91" s="8">
        <f>IF(COUNTIF(C2:C233, 90) &gt; 0, 0, IF(COUNTIF(Q7:Q8, 90) &gt; 0, 1 + INDIRECT("T" &amp; MATCH(90, Q7:Q8, 0) + 6), 1))</f>
        <v>0</v>
      </c>
      <c r="L91" s="9">
        <f>IF(OR(I91=0,K91=0), "good","check")</f>
        <v>0</v>
      </c>
      <c r="U91" s="3">
        <v>142</v>
      </c>
    </row>
    <row r="92" spans="1:21">
      <c r="A92" s="3" t="s">
        <v>18</v>
      </c>
      <c r="B92" s="4">
        <v>91</v>
      </c>
      <c r="C92" s="5" t="s">
        <v>19</v>
      </c>
      <c r="D92" s="6" t="s">
        <v>20</v>
      </c>
      <c r="E92" s="6"/>
      <c r="F92" s="7">
        <v>0</v>
      </c>
      <c r="G92" s="6"/>
      <c r="H92" s="4" t="s">
        <v>22</v>
      </c>
      <c r="I92" s="8">
        <f>IF(COUNTIF(Q7:Q8, 91) &gt; 0, 1 + INDIRECT("S" &amp; MATCH(91, Q7:Q8, 0) + 6), 1)</f>
        <v>0</v>
      </c>
      <c r="J92" s="8">
        <f>IF(COUNTIF(Q7:Q8, 91) &gt; 0, 1 + INDIRECT("T" &amp; MATCH(91, Q7:Q8, 0) + 6), 1)</f>
        <v>0</v>
      </c>
      <c r="K92" s="8">
        <f>IF(COUNTIF(C2:C233, 91) &gt; 0, 0, IF(COUNTIF(Q7:Q8, 91) &gt; 0, 1 + INDIRECT("T" &amp; MATCH(91, Q7:Q8, 0) + 6), 1))</f>
        <v>0</v>
      </c>
      <c r="L92" s="9">
        <f>IF(OR(I92=0,K92=0), "good","check")</f>
        <v>0</v>
      </c>
      <c r="U92" s="3">
        <v>143</v>
      </c>
    </row>
    <row r="93" spans="1:21">
      <c r="A93" s="3" t="s">
        <v>18</v>
      </c>
      <c r="B93" s="4">
        <v>92</v>
      </c>
      <c r="C93" s="5" t="s">
        <v>19</v>
      </c>
      <c r="D93" s="6" t="s">
        <v>20</v>
      </c>
      <c r="E93" s="6"/>
      <c r="F93" s="7">
        <v>0</v>
      </c>
      <c r="G93" s="6"/>
      <c r="H93" s="4" t="s">
        <v>22</v>
      </c>
      <c r="I93" s="8">
        <f>IF(COUNTIF(Q7:Q8, 92) &gt; 0, 1 + INDIRECT("S" &amp; MATCH(92, Q7:Q8, 0) + 6), 1)</f>
        <v>0</v>
      </c>
      <c r="J93" s="8">
        <f>IF(COUNTIF(Q7:Q8, 92) &gt; 0, 2 + INDIRECT("T" &amp; MATCH(92, Q7:Q8, 0) + 6), 2)</f>
        <v>0</v>
      </c>
      <c r="K93" s="8">
        <f>IF(COUNTIF(C2:C233, 92) &gt; 0, 0, IF(COUNTIF(Q7:Q8, 92) &gt; 0, 2 + INDIRECT("T" &amp; MATCH(92, Q7:Q8, 0) + 6), 2))</f>
        <v>0</v>
      </c>
      <c r="L93" s="9">
        <f>IF(OR(I93=0,K93=0), "good","check")</f>
        <v>0</v>
      </c>
      <c r="U93" s="3">
        <v>144</v>
      </c>
    </row>
    <row r="94" spans="1:21">
      <c r="A94" s="3" t="s">
        <v>18</v>
      </c>
      <c r="B94" s="4">
        <v>93</v>
      </c>
      <c r="C94" s="5" t="s">
        <v>19</v>
      </c>
      <c r="D94" s="6" t="s">
        <v>20</v>
      </c>
      <c r="E94" s="6"/>
      <c r="F94" s="7">
        <v>0</v>
      </c>
      <c r="G94" s="6"/>
      <c r="H94" s="4" t="s">
        <v>22</v>
      </c>
      <c r="I94" s="8">
        <f>IF(COUNTIF(Q7:Q8, 93) &gt; 0, 1 + INDIRECT("S" &amp; MATCH(93, Q7:Q8, 0) + 6), 1)</f>
        <v>0</v>
      </c>
      <c r="J94" s="8">
        <f>IF(COUNTIF(Q7:Q8, 93) &gt; 0, 2 + INDIRECT("T" &amp; MATCH(93, Q7:Q8, 0) + 6), 2)</f>
        <v>0</v>
      </c>
      <c r="K94" s="8">
        <f>IF(COUNTIF(C2:C233, 93) &gt; 0, 0, IF(COUNTIF(Q7:Q8, 93) &gt; 0, 2 + INDIRECT("T" &amp; MATCH(93, Q7:Q8, 0) + 6), 2))</f>
        <v>0</v>
      </c>
      <c r="L94" s="9">
        <f>IF(OR(I94=0,K94=0), "good","check")</f>
        <v>0</v>
      </c>
      <c r="U94" s="3">
        <v>145</v>
      </c>
    </row>
    <row r="95" spans="1:21">
      <c r="A95" s="3" t="s">
        <v>18</v>
      </c>
      <c r="B95" s="4">
        <v>94</v>
      </c>
      <c r="C95" s="5" t="s">
        <v>19</v>
      </c>
      <c r="D95" s="6" t="s">
        <v>20</v>
      </c>
      <c r="E95" s="6"/>
      <c r="F95" s="7">
        <v>0</v>
      </c>
      <c r="G95" s="6"/>
      <c r="H95" s="4" t="s">
        <v>22</v>
      </c>
      <c r="I95" s="8">
        <f>IF(COUNTIF(Q7:Q8, 94) &gt; 0, 1 + INDIRECT("S" &amp; MATCH(94, Q7:Q8, 0) + 6), 1)</f>
        <v>0</v>
      </c>
      <c r="J95" s="8">
        <f>IF(COUNTIF(Q7:Q8, 94) &gt; 0, 1 + INDIRECT("T" &amp; MATCH(94, Q7:Q8, 0) + 6), 1)</f>
        <v>0</v>
      </c>
      <c r="K95" s="8">
        <f>IF(COUNTIF(C2:C233, 94) &gt; 0, 0, IF(COUNTIF(Q7:Q8, 94) &gt; 0, 1 + INDIRECT("T" &amp; MATCH(94, Q7:Q8, 0) + 6), 1))</f>
        <v>0</v>
      </c>
      <c r="L95" s="9">
        <f>IF(OR(I95=0,K95=0), "good","check")</f>
        <v>0</v>
      </c>
      <c r="U95" s="3">
        <v>146</v>
      </c>
    </row>
    <row r="96" spans="1:21">
      <c r="A96" s="3" t="s">
        <v>18</v>
      </c>
      <c r="B96" s="4">
        <v>95</v>
      </c>
      <c r="C96" s="5" t="s">
        <v>19</v>
      </c>
      <c r="D96" s="6" t="s">
        <v>20</v>
      </c>
      <c r="E96" s="6"/>
      <c r="F96" s="7">
        <v>0</v>
      </c>
      <c r="G96" s="6"/>
      <c r="H96" s="4" t="s">
        <v>22</v>
      </c>
      <c r="I96" s="8">
        <f>IF(COUNTIF(Q7:Q8, 95) &gt; 0, 1 + INDIRECT("S" &amp; MATCH(95, Q7:Q8, 0) + 6), 1)</f>
        <v>0</v>
      </c>
      <c r="J96" s="8">
        <f>IF(COUNTIF(Q7:Q8, 95) &gt; 0, 1 + INDIRECT("T" &amp; MATCH(95, Q7:Q8, 0) + 6), 1)</f>
        <v>0</v>
      </c>
      <c r="K96" s="8">
        <f>IF(COUNTIF(C2:C233, 95) &gt; 0, 0, IF(COUNTIF(Q7:Q8, 95) &gt; 0, 1 + INDIRECT("T" &amp; MATCH(95, Q7:Q8, 0) + 6), 1))</f>
        <v>0</v>
      </c>
      <c r="L96" s="9">
        <f>IF(OR(I96=0,K96=0), "good","check")</f>
        <v>0</v>
      </c>
      <c r="U96" s="3">
        <v>147</v>
      </c>
    </row>
    <row r="97" spans="1:21">
      <c r="A97" s="3" t="s">
        <v>18</v>
      </c>
      <c r="B97" s="4">
        <v>96</v>
      </c>
      <c r="C97" s="5" t="s">
        <v>19</v>
      </c>
      <c r="D97" s="6" t="s">
        <v>20</v>
      </c>
      <c r="E97" s="6"/>
      <c r="F97" s="7">
        <v>0</v>
      </c>
      <c r="G97" s="6"/>
      <c r="H97" s="4" t="s">
        <v>22</v>
      </c>
      <c r="I97" s="8">
        <f>IF(COUNTIF(Q7:Q8, 96) &gt; 0, 0 + INDIRECT("S" &amp; MATCH(96, Q7:Q8, 0) + 6), 0)</f>
        <v>0</v>
      </c>
      <c r="J97" s="8">
        <f>IF(COUNTIF(Q7:Q8, 96) &gt; 0, 2 + INDIRECT("T" &amp; MATCH(96, Q7:Q8, 0) + 6), 2)</f>
        <v>0</v>
      </c>
      <c r="K97" s="8">
        <f>IF(COUNTIF(C2:C233, 96) &gt; 0, 0, IF(COUNTIF(Q7:Q8, 96) &gt; 0, 2 + INDIRECT("T" &amp; MATCH(96, Q7:Q8, 0) + 6), 2))</f>
        <v>0</v>
      </c>
      <c r="L97" s="9">
        <f>IF(OR(I97=0,K97=0), "good","check")</f>
        <v>0</v>
      </c>
      <c r="U97" s="3">
        <v>148</v>
      </c>
    </row>
    <row r="98" spans="1:21">
      <c r="A98" s="3" t="s">
        <v>18</v>
      </c>
      <c r="B98" s="4">
        <v>97</v>
      </c>
      <c r="C98" s="5" t="s">
        <v>19</v>
      </c>
      <c r="D98" s="6" t="s">
        <v>20</v>
      </c>
      <c r="E98" s="6"/>
      <c r="F98" s="7">
        <v>0</v>
      </c>
      <c r="G98" s="6"/>
      <c r="H98" s="4" t="s">
        <v>22</v>
      </c>
      <c r="I98" s="8">
        <f>IF(COUNTIF(Q7:Q8, 97) &gt; 0, 2 + INDIRECT("S" &amp; MATCH(97, Q7:Q8, 0) + 6), 2)</f>
        <v>0</v>
      </c>
      <c r="J98" s="8">
        <f>IF(COUNTIF(Q7:Q8, 97) &gt; 0, 4 + INDIRECT("T" &amp; MATCH(97, Q7:Q8, 0) + 6), 4)</f>
        <v>0</v>
      </c>
      <c r="K98" s="8">
        <f>IF(COUNTIF(C2:C233, 97) &gt; 0, 0, IF(COUNTIF(Q7:Q8, 97) &gt; 0, 4 + INDIRECT("T" &amp; MATCH(97, Q7:Q8, 0) + 6), 4))</f>
        <v>0</v>
      </c>
      <c r="L98" s="9">
        <f>IF(OR(I98=0,K98=0), "good","check")</f>
        <v>0</v>
      </c>
      <c r="U98" s="3">
        <v>149</v>
      </c>
    </row>
    <row r="99" spans="1:21">
      <c r="A99" s="3" t="s">
        <v>18</v>
      </c>
      <c r="B99" s="4">
        <v>98</v>
      </c>
      <c r="C99" s="5" t="s">
        <v>19</v>
      </c>
      <c r="D99" s="6" t="s">
        <v>20</v>
      </c>
      <c r="E99" s="6"/>
      <c r="F99" s="7">
        <v>0</v>
      </c>
      <c r="G99" s="6"/>
      <c r="H99" s="4" t="s">
        <v>22</v>
      </c>
      <c r="I99" s="8">
        <f>IF(COUNTIF(Q7:Q8, 98) &gt; 0, 3 + INDIRECT("S" &amp; MATCH(98, Q7:Q8, 0) + 6), 3)</f>
        <v>0</v>
      </c>
      <c r="J99" s="8">
        <f>IF(COUNTIF(Q7:Q8, 98) &gt; 0, 2 + INDIRECT("T" &amp; MATCH(98, Q7:Q8, 0) + 6), 2)</f>
        <v>0</v>
      </c>
      <c r="K99" s="8">
        <f>IF(COUNTIF(C2:C233, 98) &gt; 0, 0, IF(COUNTIF(Q7:Q8, 98) &gt; 0, 2 + INDIRECT("T" &amp; MATCH(98, Q7:Q8, 0) + 6), 2))</f>
        <v>0</v>
      </c>
      <c r="L99" s="9">
        <f>IF(OR(I99=0,K99=0), "good","check")</f>
        <v>0</v>
      </c>
      <c r="U99" s="3">
        <v>150</v>
      </c>
    </row>
    <row r="100" spans="1:21">
      <c r="A100" s="3" t="s">
        <v>18</v>
      </c>
      <c r="B100" s="4">
        <v>99</v>
      </c>
      <c r="C100" s="5" t="s">
        <v>19</v>
      </c>
      <c r="D100" s="6" t="s">
        <v>20</v>
      </c>
      <c r="E100" s="6"/>
      <c r="F100" s="7">
        <v>0</v>
      </c>
      <c r="G100" s="6"/>
      <c r="H100" s="4" t="s">
        <v>22</v>
      </c>
      <c r="I100" s="8">
        <f>IF(COUNTIF(Q7:Q8, 99) &gt; 0, 2 + INDIRECT("S" &amp; MATCH(99, Q7:Q8, 0) + 6), 2)</f>
        <v>0</v>
      </c>
      <c r="J100" s="8">
        <f>IF(COUNTIF(Q7:Q8, 99) &gt; 0, 0 + INDIRECT("T" &amp; MATCH(99, Q7:Q8, 0) + 6), 0)</f>
        <v>0</v>
      </c>
      <c r="K100" s="8">
        <f>IF(COUNTIF(C2:C233, 99) &gt; 0, 0, IF(COUNTIF(Q7:Q8, 99) &gt; 0, 0 + INDIRECT("T" &amp; MATCH(99, Q7:Q8, 0) + 6), 0))</f>
        <v>0</v>
      </c>
      <c r="L100" s="9">
        <f>IF(OR(I100=0,K100=0), "good","check")</f>
        <v>0</v>
      </c>
      <c r="U100" s="3">
        <v>151</v>
      </c>
    </row>
    <row r="101" spans="1:21">
      <c r="A101" s="3" t="s">
        <v>18</v>
      </c>
      <c r="B101" s="4">
        <v>100</v>
      </c>
      <c r="C101" s="5" t="s">
        <v>19</v>
      </c>
      <c r="D101" s="6" t="s">
        <v>20</v>
      </c>
      <c r="E101" s="6"/>
      <c r="F101" s="7">
        <v>0</v>
      </c>
      <c r="G101" s="6"/>
      <c r="H101" s="4" t="s">
        <v>22</v>
      </c>
      <c r="I101" s="8">
        <f>IF(COUNTIF(Q7:Q8, 100) &gt; 0, 1 + INDIRECT("S" &amp; MATCH(100, Q7:Q8, 0) + 6), 1)</f>
        <v>0</v>
      </c>
      <c r="J101" s="8">
        <f>IF(COUNTIF(Q7:Q8, 100) &gt; 0, 1 + INDIRECT("T" &amp; MATCH(100, Q7:Q8, 0) + 6), 1)</f>
        <v>0</v>
      </c>
      <c r="K101" s="8">
        <f>IF(COUNTIF(C2:C233, 100) &gt; 0, 0, IF(COUNTIF(Q7:Q8, 100) &gt; 0, 1 + INDIRECT("T" &amp; MATCH(100, Q7:Q8, 0) + 6), 1))</f>
        <v>0</v>
      </c>
      <c r="L101" s="9">
        <f>IF(OR(I101=0,K101=0), "good","check")</f>
        <v>0</v>
      </c>
      <c r="U101" s="3">
        <v>152</v>
      </c>
    </row>
    <row r="102" spans="1:21">
      <c r="A102" s="3" t="s">
        <v>18</v>
      </c>
      <c r="B102" s="4">
        <v>101</v>
      </c>
      <c r="C102" s="5" t="s">
        <v>19</v>
      </c>
      <c r="D102" s="6" t="s">
        <v>20</v>
      </c>
      <c r="E102" s="6"/>
      <c r="F102" s="7">
        <v>0</v>
      </c>
      <c r="G102" s="6"/>
      <c r="H102" s="4" t="s">
        <v>22</v>
      </c>
      <c r="I102" s="8">
        <f>IF(COUNTIF(Q7:Q8, 101) &gt; 0, 1 + INDIRECT("S" &amp; MATCH(101, Q7:Q8, 0) + 6), 1)</f>
        <v>0</v>
      </c>
      <c r="J102" s="8">
        <f>IF(COUNTIF(Q7:Q8, 101) &gt; 0, 1 + INDIRECT("T" &amp; MATCH(101, Q7:Q8, 0) + 6), 1)</f>
        <v>0</v>
      </c>
      <c r="K102" s="8">
        <f>IF(COUNTIF(C2:C233, 101) &gt; 0, 0, IF(COUNTIF(Q7:Q8, 101) &gt; 0, 1 + INDIRECT("T" &amp; MATCH(101, Q7:Q8, 0) + 6), 1))</f>
        <v>0</v>
      </c>
      <c r="L102" s="9">
        <f>IF(OR(I102=0,K102=0), "good","check")</f>
        <v>0</v>
      </c>
      <c r="U102" s="3">
        <v>153</v>
      </c>
    </row>
    <row r="103" spans="1:21">
      <c r="A103" s="3" t="s">
        <v>18</v>
      </c>
      <c r="B103" s="4">
        <v>102</v>
      </c>
      <c r="C103" s="5" t="s">
        <v>19</v>
      </c>
      <c r="D103" s="6" t="s">
        <v>20</v>
      </c>
      <c r="E103" s="6"/>
      <c r="F103" s="7">
        <v>0</v>
      </c>
      <c r="G103" s="6"/>
      <c r="H103" s="4" t="s">
        <v>22</v>
      </c>
      <c r="I103" s="8">
        <f>IF(COUNTIF(Q7:Q8, 102) &gt; 0, 1 + INDIRECT("S" &amp; MATCH(102, Q7:Q8, 0) + 6), 1)</f>
        <v>0</v>
      </c>
      <c r="J103" s="8">
        <f>IF(COUNTIF(Q7:Q8, 102) &gt; 0, 1 + INDIRECT("T" &amp; MATCH(102, Q7:Q8, 0) + 6), 1)</f>
        <v>0</v>
      </c>
      <c r="K103" s="8">
        <f>IF(COUNTIF(C2:C233, 102) &gt; 0, 0, IF(COUNTIF(Q7:Q8, 102) &gt; 0, 1 + INDIRECT("T" &amp; MATCH(102, Q7:Q8, 0) + 6), 1))</f>
        <v>0</v>
      </c>
      <c r="L103" s="9">
        <f>IF(OR(I103=0,K103=0), "good","check")</f>
        <v>0</v>
      </c>
      <c r="U103" s="3">
        <v>154</v>
      </c>
    </row>
    <row r="104" spans="1:21">
      <c r="A104" s="3" t="s">
        <v>18</v>
      </c>
      <c r="B104" s="4">
        <v>103</v>
      </c>
      <c r="C104" s="5" t="s">
        <v>19</v>
      </c>
      <c r="D104" s="6" t="s">
        <v>20</v>
      </c>
      <c r="E104" s="6"/>
      <c r="F104" s="7">
        <v>0</v>
      </c>
      <c r="G104" s="6"/>
      <c r="H104" s="4" t="s">
        <v>22</v>
      </c>
      <c r="I104" s="8">
        <f>IF(COUNTIF(Q7:Q8, 103) &gt; 0, 1 + INDIRECT("S" &amp; MATCH(103, Q7:Q8, 0) + 6), 1)</f>
        <v>0</v>
      </c>
      <c r="J104" s="8">
        <f>IF(COUNTIF(Q7:Q8, 103) &gt; 0, 1 + INDIRECT("T" &amp; MATCH(103, Q7:Q8, 0) + 6), 1)</f>
        <v>0</v>
      </c>
      <c r="K104" s="8">
        <f>IF(COUNTIF(C2:C233, 103) &gt; 0, 0, IF(COUNTIF(Q7:Q8, 103) &gt; 0, 1 + INDIRECT("T" &amp; MATCH(103, Q7:Q8, 0) + 6), 1))</f>
        <v>0</v>
      </c>
      <c r="L104" s="9">
        <f>IF(OR(I104=0,K104=0), "good","check")</f>
        <v>0</v>
      </c>
      <c r="U104" s="3">
        <v>155</v>
      </c>
    </row>
    <row r="105" spans="1:21">
      <c r="A105" s="3" t="s">
        <v>18</v>
      </c>
      <c r="B105" s="4">
        <v>104</v>
      </c>
      <c r="C105" s="5" t="s">
        <v>19</v>
      </c>
      <c r="D105" s="6" t="s">
        <v>20</v>
      </c>
      <c r="E105" s="6"/>
      <c r="F105" s="7">
        <v>0</v>
      </c>
      <c r="G105" s="6"/>
      <c r="H105" s="4" t="s">
        <v>22</v>
      </c>
      <c r="I105" s="8">
        <f>IF(COUNTIF(Q7:Q8, 104) &gt; 0, 1 + INDIRECT("S" &amp; MATCH(104, Q7:Q8, 0) + 6), 1)</f>
        <v>0</v>
      </c>
      <c r="J105" s="8">
        <f>IF(COUNTIF(Q7:Q8, 104) &gt; 0, 1 + INDIRECT("T" &amp; MATCH(104, Q7:Q8, 0) + 6), 1)</f>
        <v>0</v>
      </c>
      <c r="K105" s="8">
        <f>IF(COUNTIF(C2:C233, 104) &gt; 0, 0, IF(COUNTIF(Q7:Q8, 104) &gt; 0, 1 + INDIRECT("T" &amp; MATCH(104, Q7:Q8, 0) + 6), 1))</f>
        <v>0</v>
      </c>
      <c r="L105" s="9">
        <f>IF(OR(I105=0,K105=0), "good","check")</f>
        <v>0</v>
      </c>
      <c r="U105" s="3">
        <v>156</v>
      </c>
    </row>
    <row r="106" spans="1:21">
      <c r="A106" s="3" t="s">
        <v>18</v>
      </c>
      <c r="B106" s="4">
        <v>105</v>
      </c>
      <c r="C106" s="5" t="s">
        <v>19</v>
      </c>
      <c r="D106" s="6" t="s">
        <v>20</v>
      </c>
      <c r="E106" s="6"/>
      <c r="F106" s="7">
        <v>0</v>
      </c>
      <c r="G106" s="6"/>
      <c r="H106" s="4" t="s">
        <v>22</v>
      </c>
      <c r="I106" s="8">
        <f>IF(COUNTIF(Q7:Q8, 105) &gt; 0, 1 + INDIRECT("S" &amp; MATCH(105, Q7:Q8, 0) + 6), 1)</f>
        <v>0</v>
      </c>
      <c r="J106" s="8">
        <f>IF(COUNTIF(Q7:Q8, 105) &gt; 0, 1 + INDIRECT("T" &amp; MATCH(105, Q7:Q8, 0) + 6), 1)</f>
        <v>0</v>
      </c>
      <c r="K106" s="8">
        <f>IF(COUNTIF(C2:C233, 105) &gt; 0, 0, IF(COUNTIF(Q7:Q8, 105) &gt; 0, 1 + INDIRECT("T" &amp; MATCH(105, Q7:Q8, 0) + 6), 1))</f>
        <v>0</v>
      </c>
      <c r="L106" s="9">
        <f>IF(OR(I106=0,K106=0), "good","check")</f>
        <v>0</v>
      </c>
      <c r="U106" s="3">
        <v>157</v>
      </c>
    </row>
    <row r="107" spans="1:21">
      <c r="A107" s="3" t="s">
        <v>18</v>
      </c>
      <c r="B107" s="4">
        <v>106</v>
      </c>
      <c r="C107" s="5" t="s">
        <v>19</v>
      </c>
      <c r="D107" s="6" t="s">
        <v>20</v>
      </c>
      <c r="E107" s="6"/>
      <c r="F107" s="7">
        <v>0</v>
      </c>
      <c r="G107" s="6"/>
      <c r="H107" s="4" t="s">
        <v>22</v>
      </c>
      <c r="I107" s="8">
        <f>IF(COUNTIF(Q7:Q8, 106) &gt; 0, 1 + INDIRECT("S" &amp; MATCH(106, Q7:Q8, 0) + 6), 1)</f>
        <v>0</v>
      </c>
      <c r="J107" s="8">
        <f>IF(COUNTIF(Q7:Q8, 106) &gt; 0, 1 + INDIRECT("T" &amp; MATCH(106, Q7:Q8, 0) + 6), 1)</f>
        <v>0</v>
      </c>
      <c r="K107" s="8">
        <f>IF(COUNTIF(C2:C233, 106) &gt; 0, 0, IF(COUNTIF(Q7:Q8, 106) &gt; 0, 1 + INDIRECT("T" &amp; MATCH(106, Q7:Q8, 0) + 6), 1))</f>
        <v>0</v>
      </c>
      <c r="L107" s="9">
        <f>IF(OR(I107=0,K107=0), "good","check")</f>
        <v>0</v>
      </c>
      <c r="U107" s="3">
        <v>158</v>
      </c>
    </row>
    <row r="108" spans="1:21">
      <c r="A108" s="3" t="s">
        <v>18</v>
      </c>
      <c r="B108" s="4">
        <v>107</v>
      </c>
      <c r="C108" s="5" t="s">
        <v>19</v>
      </c>
      <c r="D108" s="6" t="s">
        <v>20</v>
      </c>
      <c r="E108" s="6"/>
      <c r="F108" s="7">
        <v>0</v>
      </c>
      <c r="G108" s="6"/>
      <c r="H108" s="4" t="s">
        <v>22</v>
      </c>
      <c r="I108" s="8">
        <f>IF(COUNTIF(Q7:Q8, 107) &gt; 0, 1 + INDIRECT("S" &amp; MATCH(107, Q7:Q8, 0) + 6), 1)</f>
        <v>0</v>
      </c>
      <c r="J108" s="8">
        <f>IF(COUNTIF(Q7:Q8, 107) &gt; 0, 1 + INDIRECT("T" &amp; MATCH(107, Q7:Q8, 0) + 6), 1)</f>
        <v>0</v>
      </c>
      <c r="K108" s="8">
        <f>IF(COUNTIF(C2:C233, 107) &gt; 0, 0, IF(COUNTIF(Q7:Q8, 107) &gt; 0, 1 + INDIRECT("T" &amp; MATCH(107, Q7:Q8, 0) + 6), 1))</f>
        <v>0</v>
      </c>
      <c r="L108" s="9">
        <f>IF(OR(I108=0,K108=0), "good","check")</f>
        <v>0</v>
      </c>
      <c r="U108" s="3">
        <v>159</v>
      </c>
    </row>
    <row r="109" spans="1:21">
      <c r="A109" s="3" t="s">
        <v>18</v>
      </c>
      <c r="B109" s="4">
        <v>108</v>
      </c>
      <c r="C109" s="5" t="s">
        <v>19</v>
      </c>
      <c r="D109" s="6" t="s">
        <v>20</v>
      </c>
      <c r="E109" s="6"/>
      <c r="F109" s="7">
        <v>0</v>
      </c>
      <c r="G109" s="6"/>
      <c r="H109" s="4" t="s">
        <v>22</v>
      </c>
      <c r="I109" s="8">
        <f>IF(COUNTIF(Q7:Q8, 108) &gt; 0, 1 + INDIRECT("S" &amp; MATCH(108, Q7:Q8, 0) + 6), 1)</f>
        <v>0</v>
      </c>
      <c r="J109" s="8">
        <f>IF(COUNTIF(Q7:Q8, 108) &gt; 0, 1 + INDIRECT("T" &amp; MATCH(108, Q7:Q8, 0) + 6), 1)</f>
        <v>0</v>
      </c>
      <c r="K109" s="8">
        <f>IF(COUNTIF(C2:C233, 108) &gt; 0, 0, IF(COUNTIF(Q7:Q8, 108) &gt; 0, 1 + INDIRECT("T" &amp; MATCH(108, Q7:Q8, 0) + 6), 1))</f>
        <v>0</v>
      </c>
      <c r="L109" s="9">
        <f>IF(OR(I109=0,K109=0), "good","check")</f>
        <v>0</v>
      </c>
      <c r="U109" s="3">
        <v>160</v>
      </c>
    </row>
    <row r="110" spans="1:21">
      <c r="A110" s="10" t="s">
        <v>21</v>
      </c>
      <c r="B110" s="10">
        <v>109</v>
      </c>
      <c r="C110" s="11"/>
      <c r="D110" s="11"/>
      <c r="E110" s="11"/>
      <c r="F110" s="12">
        <v>0</v>
      </c>
      <c r="G110" s="11"/>
      <c r="H110" s="13">
        <f>C110</f>
        <v>0</v>
      </c>
      <c r="I110" s="14">
        <v>0</v>
      </c>
      <c r="J110" s="14">
        <v>0</v>
      </c>
      <c r="K110" s="13">
        <f>IF(ISBLANK(C110), 0, INDIRECT("J"&amp; C110+1))</f>
        <v>0</v>
      </c>
      <c r="L110" s="9">
        <f>IF(OR(I110=0,K110=0), "good","check")</f>
        <v>0</v>
      </c>
      <c r="U110" s="3">
        <v>161</v>
      </c>
    </row>
    <row r="111" spans="1:21">
      <c r="A111" s="10" t="s">
        <v>21</v>
      </c>
      <c r="B111" s="10">
        <v>110</v>
      </c>
      <c r="C111" s="11"/>
      <c r="D111" s="11"/>
      <c r="E111" s="11"/>
      <c r="F111" s="12">
        <v>0</v>
      </c>
      <c r="G111" s="11"/>
      <c r="H111" s="13">
        <f>C111</f>
        <v>0</v>
      </c>
      <c r="I111" s="14">
        <v>0</v>
      </c>
      <c r="J111" s="14">
        <v>0</v>
      </c>
      <c r="K111" s="13">
        <f>IF(ISBLANK(C111), 0, INDIRECT("J"&amp; C111+1))</f>
        <v>0</v>
      </c>
      <c r="L111" s="9">
        <f>IF(OR(I111=0,K111=0), "good","check")</f>
        <v>0</v>
      </c>
      <c r="U111" s="3">
        <v>162</v>
      </c>
    </row>
    <row r="112" spans="1:21">
      <c r="A112" s="10" t="s">
        <v>21</v>
      </c>
      <c r="B112" s="10">
        <v>111</v>
      </c>
      <c r="C112" s="11"/>
      <c r="D112" s="11"/>
      <c r="E112" s="11"/>
      <c r="F112" s="12">
        <v>0</v>
      </c>
      <c r="G112" s="11"/>
      <c r="H112" s="13">
        <f>C112</f>
        <v>0</v>
      </c>
      <c r="I112" s="14">
        <v>0</v>
      </c>
      <c r="J112" s="14">
        <v>0</v>
      </c>
      <c r="K112" s="13">
        <f>IF(ISBLANK(C112), 0, INDIRECT("J"&amp; C112+1))</f>
        <v>0</v>
      </c>
      <c r="L112" s="9">
        <f>IF(OR(I112=0,K112=0), "good","check")</f>
        <v>0</v>
      </c>
      <c r="U112" s="3">
        <v>163</v>
      </c>
    </row>
    <row r="113" spans="1:21">
      <c r="A113" s="10" t="s">
        <v>21</v>
      </c>
      <c r="B113" s="10">
        <v>112</v>
      </c>
      <c r="C113" s="11"/>
      <c r="D113" s="11"/>
      <c r="E113" s="11"/>
      <c r="F113" s="12">
        <v>0</v>
      </c>
      <c r="G113" s="11"/>
      <c r="H113" s="13">
        <f>C113</f>
        <v>0</v>
      </c>
      <c r="I113" s="14">
        <v>0</v>
      </c>
      <c r="J113" s="14">
        <v>0</v>
      </c>
      <c r="K113" s="13">
        <f>IF(ISBLANK(C113), 0, INDIRECT("J"&amp; C113+1))</f>
        <v>0</v>
      </c>
      <c r="L113" s="9">
        <f>IF(OR(I113=0,K113=0), "good","check")</f>
        <v>0</v>
      </c>
      <c r="U113" s="3">
        <v>164</v>
      </c>
    </row>
    <row r="114" spans="1:21">
      <c r="A114" s="10" t="s">
        <v>21</v>
      </c>
      <c r="B114" s="10">
        <v>113</v>
      </c>
      <c r="C114" s="11"/>
      <c r="D114" s="11"/>
      <c r="E114" s="11"/>
      <c r="F114" s="12">
        <v>0</v>
      </c>
      <c r="G114" s="11"/>
      <c r="H114" s="13">
        <f>C114</f>
        <v>0</v>
      </c>
      <c r="I114" s="14">
        <v>0</v>
      </c>
      <c r="J114" s="14">
        <v>0</v>
      </c>
      <c r="K114" s="13">
        <f>IF(ISBLANK(C114), 0, INDIRECT("J"&amp; C114+1))</f>
        <v>0</v>
      </c>
      <c r="L114" s="9">
        <f>IF(OR(I114=0,K114=0), "good","check")</f>
        <v>0</v>
      </c>
      <c r="U114" s="3">
        <v>165</v>
      </c>
    </row>
    <row r="115" spans="1:21">
      <c r="A115" s="10" t="s">
        <v>21</v>
      </c>
      <c r="B115" s="10">
        <v>114</v>
      </c>
      <c r="C115" s="11"/>
      <c r="D115" s="11"/>
      <c r="E115" s="11"/>
      <c r="F115" s="12">
        <v>0</v>
      </c>
      <c r="G115" s="11"/>
      <c r="H115" s="13">
        <f>C115</f>
        <v>0</v>
      </c>
      <c r="I115" s="14">
        <v>0</v>
      </c>
      <c r="J115" s="14">
        <v>0</v>
      </c>
      <c r="K115" s="13">
        <f>IF(ISBLANK(C115), 0, INDIRECT("J"&amp; C115+1))</f>
        <v>0</v>
      </c>
      <c r="L115" s="9">
        <f>IF(OR(I115=0,K115=0), "good","check")</f>
        <v>0</v>
      </c>
      <c r="U115" s="3">
        <v>166</v>
      </c>
    </row>
    <row r="116" spans="1:21">
      <c r="A116" s="10" t="s">
        <v>21</v>
      </c>
      <c r="B116" s="10">
        <v>115</v>
      </c>
      <c r="C116" s="11"/>
      <c r="D116" s="11"/>
      <c r="E116" s="11"/>
      <c r="F116" s="12">
        <v>0</v>
      </c>
      <c r="G116" s="11"/>
      <c r="H116" s="13">
        <f>C116</f>
        <v>0</v>
      </c>
      <c r="I116" s="14">
        <v>0</v>
      </c>
      <c r="J116" s="14">
        <v>0</v>
      </c>
      <c r="K116" s="13">
        <f>IF(ISBLANK(C116), 0, INDIRECT("J"&amp; C116+1))</f>
        <v>0</v>
      </c>
      <c r="L116" s="9">
        <f>IF(OR(I116=0,K116=0), "good","check")</f>
        <v>0</v>
      </c>
      <c r="U116" s="3">
        <v>170</v>
      </c>
    </row>
    <row r="117" spans="1:21">
      <c r="A117" s="10" t="s">
        <v>21</v>
      </c>
      <c r="B117" s="10">
        <v>116</v>
      </c>
      <c r="C117" s="11"/>
      <c r="D117" s="11"/>
      <c r="E117" s="11"/>
      <c r="F117" s="12">
        <v>0</v>
      </c>
      <c r="G117" s="11"/>
      <c r="H117" s="13">
        <f>C117</f>
        <v>0</v>
      </c>
      <c r="I117" s="14">
        <v>0</v>
      </c>
      <c r="J117" s="14">
        <v>0</v>
      </c>
      <c r="K117" s="13">
        <f>IF(ISBLANK(C117), 0, INDIRECT("J"&amp; C117+1))</f>
        <v>0</v>
      </c>
      <c r="L117" s="9">
        <f>IF(OR(I117=0,K117=0), "good","check")</f>
        <v>0</v>
      </c>
    </row>
    <row r="118" spans="1:21">
      <c r="A118" s="10" t="s">
        <v>21</v>
      </c>
      <c r="B118" s="10">
        <v>117</v>
      </c>
      <c r="C118" s="11"/>
      <c r="D118" s="11"/>
      <c r="E118" s="11"/>
      <c r="F118" s="12">
        <v>0</v>
      </c>
      <c r="G118" s="11"/>
      <c r="H118" s="13">
        <f>C118</f>
        <v>0</v>
      </c>
      <c r="I118" s="14">
        <v>0</v>
      </c>
      <c r="J118" s="14">
        <v>0</v>
      </c>
      <c r="K118" s="13">
        <f>IF(ISBLANK(C118), 0, INDIRECT("J"&amp; C118+1))</f>
        <v>0</v>
      </c>
      <c r="L118" s="9">
        <f>IF(OR(I118=0,K118=0), "good","check")</f>
        <v>0</v>
      </c>
    </row>
    <row r="119" spans="1:21">
      <c r="A119" s="10" t="s">
        <v>21</v>
      </c>
      <c r="B119" s="10">
        <v>118</v>
      </c>
      <c r="C119" s="11"/>
      <c r="D119" s="11"/>
      <c r="E119" s="11"/>
      <c r="F119" s="12">
        <v>0</v>
      </c>
      <c r="G119" s="11"/>
      <c r="H119" s="13">
        <f>C119</f>
        <v>0</v>
      </c>
      <c r="I119" s="14">
        <v>0</v>
      </c>
      <c r="J119" s="14">
        <v>0</v>
      </c>
      <c r="K119" s="13">
        <f>IF(ISBLANK(C119), 0, INDIRECT("J"&amp; C119+1))</f>
        <v>0</v>
      </c>
      <c r="L119" s="9">
        <f>IF(OR(I119=0,K119=0), "good","check")</f>
        <v>0</v>
      </c>
    </row>
    <row r="120" spans="1:21">
      <c r="A120" s="10" t="s">
        <v>21</v>
      </c>
      <c r="B120" s="10">
        <v>119</v>
      </c>
      <c r="C120" s="11"/>
      <c r="D120" s="11"/>
      <c r="E120" s="11"/>
      <c r="F120" s="12">
        <v>0</v>
      </c>
      <c r="G120" s="11"/>
      <c r="H120" s="13">
        <f>C120</f>
        <v>0</v>
      </c>
      <c r="I120" s="14">
        <v>0</v>
      </c>
      <c r="J120" s="14">
        <v>0</v>
      </c>
      <c r="K120" s="13">
        <f>IF(ISBLANK(C120), 0, INDIRECT("J"&amp; C120+1))</f>
        <v>0</v>
      </c>
      <c r="L120" s="9">
        <f>IF(OR(I120=0,K120=0), "good","check")</f>
        <v>0</v>
      </c>
    </row>
    <row r="121" spans="1:21">
      <c r="A121" s="10" t="s">
        <v>21</v>
      </c>
      <c r="B121" s="10">
        <v>120</v>
      </c>
      <c r="C121" s="11"/>
      <c r="D121" s="11"/>
      <c r="E121" s="11"/>
      <c r="F121" s="12">
        <v>0</v>
      </c>
      <c r="G121" s="11"/>
      <c r="H121" s="13">
        <f>C121</f>
        <v>0</v>
      </c>
      <c r="I121" s="14">
        <v>0</v>
      </c>
      <c r="J121" s="14">
        <v>0</v>
      </c>
      <c r="K121" s="13">
        <f>IF(ISBLANK(C121), 0, INDIRECT("J"&amp; C121+1))</f>
        <v>0</v>
      </c>
      <c r="L121" s="9">
        <f>IF(OR(I121=0,K121=0), "good","check")</f>
        <v>0</v>
      </c>
    </row>
    <row r="122" spans="1:21">
      <c r="A122" s="10" t="s">
        <v>21</v>
      </c>
      <c r="B122" s="10">
        <v>121</v>
      </c>
      <c r="C122" s="11"/>
      <c r="D122" s="11"/>
      <c r="E122" s="11"/>
      <c r="F122" s="12">
        <v>0</v>
      </c>
      <c r="G122" s="11"/>
      <c r="H122" s="13">
        <f>C122</f>
        <v>0</v>
      </c>
      <c r="I122" s="14">
        <v>0</v>
      </c>
      <c r="J122" s="14">
        <v>0</v>
      </c>
      <c r="K122" s="13">
        <f>IF(ISBLANK(C122), 0, INDIRECT("J"&amp; C122+1))</f>
        <v>0</v>
      </c>
      <c r="L122" s="9">
        <f>IF(OR(I122=0,K122=0), "good","check")</f>
        <v>0</v>
      </c>
    </row>
    <row r="123" spans="1:21">
      <c r="A123" s="10" t="s">
        <v>21</v>
      </c>
      <c r="B123" s="10">
        <v>122</v>
      </c>
      <c r="C123" s="11"/>
      <c r="D123" s="11"/>
      <c r="E123" s="11"/>
      <c r="F123" s="12">
        <v>0</v>
      </c>
      <c r="G123" s="11"/>
      <c r="H123" s="13">
        <f>C123</f>
        <v>0</v>
      </c>
      <c r="I123" s="14">
        <v>0</v>
      </c>
      <c r="J123" s="14">
        <v>0</v>
      </c>
      <c r="K123" s="13">
        <f>IF(ISBLANK(C123), 0, INDIRECT("J"&amp; C123+1))</f>
        <v>0</v>
      </c>
      <c r="L123" s="9">
        <f>IF(OR(I123=0,K123=0), "good","check")</f>
        <v>0</v>
      </c>
    </row>
    <row r="124" spans="1:21">
      <c r="A124" s="10" t="s">
        <v>21</v>
      </c>
      <c r="B124" s="10">
        <v>123</v>
      </c>
      <c r="C124" s="11"/>
      <c r="D124" s="11"/>
      <c r="E124" s="11"/>
      <c r="F124" s="12">
        <v>0</v>
      </c>
      <c r="G124" s="11"/>
      <c r="H124" s="13">
        <f>C124</f>
        <v>0</v>
      </c>
      <c r="I124" s="14">
        <v>0</v>
      </c>
      <c r="J124" s="14">
        <v>0</v>
      </c>
      <c r="K124" s="13">
        <f>IF(ISBLANK(C124), 0, INDIRECT("J"&amp; C124+1))</f>
        <v>0</v>
      </c>
      <c r="L124" s="9">
        <f>IF(OR(I124=0,K124=0), "good","check")</f>
        <v>0</v>
      </c>
    </row>
    <row r="125" spans="1:21">
      <c r="A125" s="10" t="s">
        <v>21</v>
      </c>
      <c r="B125" s="10">
        <v>124</v>
      </c>
      <c r="C125" s="11"/>
      <c r="D125" s="11"/>
      <c r="E125" s="11"/>
      <c r="F125" s="12">
        <v>0</v>
      </c>
      <c r="G125" s="11"/>
      <c r="H125" s="13">
        <f>C125</f>
        <v>0</v>
      </c>
      <c r="I125" s="14">
        <v>0</v>
      </c>
      <c r="J125" s="14">
        <v>0</v>
      </c>
      <c r="K125" s="13">
        <f>IF(ISBLANK(C125), 0, INDIRECT("J"&amp; C125+1))</f>
        <v>0</v>
      </c>
      <c r="L125" s="9">
        <f>IF(OR(I125=0,K125=0), "good","check")</f>
        <v>0</v>
      </c>
    </row>
    <row r="126" spans="1:21">
      <c r="A126" s="10" t="s">
        <v>21</v>
      </c>
      <c r="B126" s="10">
        <v>125</v>
      </c>
      <c r="C126" s="11"/>
      <c r="D126" s="11"/>
      <c r="E126" s="11"/>
      <c r="F126" s="12">
        <v>0</v>
      </c>
      <c r="G126" s="11"/>
      <c r="H126" s="13">
        <f>C126</f>
        <v>0</v>
      </c>
      <c r="I126" s="14">
        <v>0</v>
      </c>
      <c r="J126" s="14">
        <v>0</v>
      </c>
      <c r="K126" s="13">
        <f>IF(ISBLANK(C126), 0, INDIRECT("J"&amp; C126+1))</f>
        <v>0</v>
      </c>
      <c r="L126" s="9">
        <f>IF(OR(I126=0,K126=0), "good","check")</f>
        <v>0</v>
      </c>
    </row>
    <row r="127" spans="1:21">
      <c r="A127" s="10" t="s">
        <v>21</v>
      </c>
      <c r="B127" s="10">
        <v>126</v>
      </c>
      <c r="C127" s="11"/>
      <c r="D127" s="11"/>
      <c r="E127" s="11"/>
      <c r="F127" s="12">
        <v>0</v>
      </c>
      <c r="G127" s="11"/>
      <c r="H127" s="13">
        <f>C127</f>
        <v>0</v>
      </c>
      <c r="I127" s="14">
        <v>0</v>
      </c>
      <c r="J127" s="14">
        <v>0</v>
      </c>
      <c r="K127" s="13">
        <f>IF(ISBLANK(C127), 0, INDIRECT("J"&amp; C127+1))</f>
        <v>0</v>
      </c>
      <c r="L127" s="9">
        <f>IF(OR(I127=0,K127=0), "good","check")</f>
        <v>0</v>
      </c>
    </row>
    <row r="128" spans="1:21">
      <c r="A128" s="10" t="s">
        <v>21</v>
      </c>
      <c r="B128" s="10">
        <v>127</v>
      </c>
      <c r="C128" s="11"/>
      <c r="D128" s="11"/>
      <c r="E128" s="11"/>
      <c r="F128" s="12">
        <v>0</v>
      </c>
      <c r="G128" s="11"/>
      <c r="H128" s="13">
        <f>C128</f>
        <v>0</v>
      </c>
      <c r="I128" s="14">
        <v>0</v>
      </c>
      <c r="J128" s="14">
        <v>0</v>
      </c>
      <c r="K128" s="13">
        <f>IF(ISBLANK(C128), 0, INDIRECT("J"&amp; C128+1))</f>
        <v>0</v>
      </c>
      <c r="L128" s="9">
        <f>IF(OR(I128=0,K128=0), "good","check")</f>
        <v>0</v>
      </c>
    </row>
    <row r="129" spans="1:12">
      <c r="A129" s="10" t="s">
        <v>21</v>
      </c>
      <c r="B129" s="10">
        <v>128</v>
      </c>
      <c r="C129" s="11"/>
      <c r="D129" s="11"/>
      <c r="E129" s="11"/>
      <c r="F129" s="12">
        <v>0</v>
      </c>
      <c r="G129" s="11"/>
      <c r="H129" s="13">
        <f>C129</f>
        <v>0</v>
      </c>
      <c r="I129" s="14">
        <v>0</v>
      </c>
      <c r="J129" s="14">
        <v>0</v>
      </c>
      <c r="K129" s="13">
        <f>IF(ISBLANK(C129), 0, INDIRECT("J"&amp; C129+1))</f>
        <v>0</v>
      </c>
      <c r="L129" s="9">
        <f>IF(OR(I129=0,K129=0), "good","check")</f>
        <v>0</v>
      </c>
    </row>
    <row r="130" spans="1:12">
      <c r="A130" s="10" t="s">
        <v>21</v>
      </c>
      <c r="B130" s="10">
        <v>129</v>
      </c>
      <c r="C130" s="11"/>
      <c r="D130" s="11"/>
      <c r="E130" s="11"/>
      <c r="F130" s="12">
        <v>0</v>
      </c>
      <c r="G130" s="11"/>
      <c r="H130" s="13">
        <f>C130</f>
        <v>0</v>
      </c>
      <c r="I130" s="14">
        <v>0</v>
      </c>
      <c r="J130" s="14">
        <v>0</v>
      </c>
      <c r="K130" s="13">
        <f>IF(ISBLANK(C130), 0, INDIRECT("J"&amp; C130+1))</f>
        <v>0</v>
      </c>
      <c r="L130" s="9">
        <f>IF(OR(I130=0,K130=0), "good","check")</f>
        <v>0</v>
      </c>
    </row>
    <row r="131" spans="1:12">
      <c r="A131" s="10" t="s">
        <v>21</v>
      </c>
      <c r="B131" s="10">
        <v>130</v>
      </c>
      <c r="C131" s="11"/>
      <c r="D131" s="11"/>
      <c r="E131" s="11"/>
      <c r="F131" s="12">
        <v>0</v>
      </c>
      <c r="G131" s="11"/>
      <c r="H131" s="13">
        <f>C131</f>
        <v>0</v>
      </c>
      <c r="I131" s="14">
        <v>0</v>
      </c>
      <c r="J131" s="14">
        <v>0</v>
      </c>
      <c r="K131" s="13">
        <f>IF(ISBLANK(C131), 0, INDIRECT("J"&amp; C131+1))</f>
        <v>0</v>
      </c>
      <c r="L131" s="9">
        <f>IF(OR(I131=0,K131=0), "good","check")</f>
        <v>0</v>
      </c>
    </row>
    <row r="132" spans="1:12">
      <c r="A132" s="10" t="s">
        <v>21</v>
      </c>
      <c r="B132" s="10">
        <v>131</v>
      </c>
      <c r="C132" s="11"/>
      <c r="D132" s="11"/>
      <c r="E132" s="11"/>
      <c r="F132" s="12">
        <v>0</v>
      </c>
      <c r="G132" s="11"/>
      <c r="H132" s="13">
        <f>C132</f>
        <v>0</v>
      </c>
      <c r="I132" s="14">
        <v>0</v>
      </c>
      <c r="J132" s="14">
        <v>0</v>
      </c>
      <c r="K132" s="13">
        <f>IF(ISBLANK(C132), 0, INDIRECT("J"&amp; C132+1))</f>
        <v>0</v>
      </c>
      <c r="L132" s="9">
        <f>IF(OR(I132=0,K132=0), "good","check")</f>
        <v>0</v>
      </c>
    </row>
    <row r="133" spans="1:12">
      <c r="A133" s="10" t="s">
        <v>21</v>
      </c>
      <c r="B133" s="10">
        <v>132</v>
      </c>
      <c r="C133" s="11"/>
      <c r="D133" s="11"/>
      <c r="E133" s="11"/>
      <c r="F133" s="12">
        <v>0</v>
      </c>
      <c r="G133" s="11"/>
      <c r="H133" s="13">
        <f>C133</f>
        <v>0</v>
      </c>
      <c r="I133" s="14">
        <v>0</v>
      </c>
      <c r="J133" s="14">
        <v>0</v>
      </c>
      <c r="K133" s="13">
        <f>IF(ISBLANK(C133), 0, INDIRECT("J"&amp; C133+1))</f>
        <v>0</v>
      </c>
      <c r="L133" s="9">
        <f>IF(OR(I133=0,K133=0), "good","check")</f>
        <v>0</v>
      </c>
    </row>
    <row r="134" spans="1:12">
      <c r="A134" s="10" t="s">
        <v>21</v>
      </c>
      <c r="B134" s="10">
        <v>133</v>
      </c>
      <c r="C134" s="11"/>
      <c r="D134" s="11"/>
      <c r="E134" s="11"/>
      <c r="F134" s="12">
        <v>0</v>
      </c>
      <c r="G134" s="11"/>
      <c r="H134" s="13">
        <f>C134</f>
        <v>0</v>
      </c>
      <c r="I134" s="14">
        <v>0</v>
      </c>
      <c r="J134" s="14">
        <v>0</v>
      </c>
      <c r="K134" s="13">
        <f>IF(ISBLANK(C134), 0, INDIRECT("J"&amp; C134+1))</f>
        <v>0</v>
      </c>
      <c r="L134" s="9">
        <f>IF(OR(I134=0,K134=0), "good","check")</f>
        <v>0</v>
      </c>
    </row>
    <row r="135" spans="1:12">
      <c r="A135" s="10" t="s">
        <v>21</v>
      </c>
      <c r="B135" s="10">
        <v>134</v>
      </c>
      <c r="C135" s="11"/>
      <c r="D135" s="11"/>
      <c r="E135" s="11"/>
      <c r="F135" s="12">
        <v>0</v>
      </c>
      <c r="G135" s="11"/>
      <c r="H135" s="13">
        <f>C135</f>
        <v>0</v>
      </c>
      <c r="I135" s="14">
        <v>0</v>
      </c>
      <c r="J135" s="14">
        <v>0</v>
      </c>
      <c r="K135" s="13">
        <f>IF(ISBLANK(C135), 0, INDIRECT("J"&amp; C135+1))</f>
        <v>0</v>
      </c>
      <c r="L135" s="9">
        <f>IF(OR(I135=0,K135=0), "good","check")</f>
        <v>0</v>
      </c>
    </row>
    <row r="136" spans="1:12">
      <c r="A136" s="10" t="s">
        <v>21</v>
      </c>
      <c r="B136" s="10">
        <v>135</v>
      </c>
      <c r="C136" s="11"/>
      <c r="D136" s="11"/>
      <c r="E136" s="11"/>
      <c r="F136" s="12">
        <v>0</v>
      </c>
      <c r="G136" s="11"/>
      <c r="H136" s="13">
        <f>C136</f>
        <v>0</v>
      </c>
      <c r="I136" s="14">
        <v>0</v>
      </c>
      <c r="J136" s="14">
        <v>0</v>
      </c>
      <c r="K136" s="13">
        <f>IF(ISBLANK(C136), 0, INDIRECT("J"&amp; C136+1))</f>
        <v>0</v>
      </c>
      <c r="L136" s="9">
        <f>IF(OR(I136=0,K136=0), "good","check")</f>
        <v>0</v>
      </c>
    </row>
    <row r="137" spans="1:12">
      <c r="A137" s="10" t="s">
        <v>21</v>
      </c>
      <c r="B137" s="10">
        <v>136</v>
      </c>
      <c r="C137" s="11"/>
      <c r="D137" s="11"/>
      <c r="E137" s="11"/>
      <c r="F137" s="12">
        <v>0</v>
      </c>
      <c r="G137" s="11"/>
      <c r="H137" s="13">
        <f>C137</f>
        <v>0</v>
      </c>
      <c r="I137" s="14">
        <v>0</v>
      </c>
      <c r="J137" s="14">
        <v>0</v>
      </c>
      <c r="K137" s="13">
        <f>IF(ISBLANK(C137), 0, INDIRECT("J"&amp; C137+1))</f>
        <v>0</v>
      </c>
      <c r="L137" s="9">
        <f>IF(OR(I137=0,K137=0), "good","check")</f>
        <v>0</v>
      </c>
    </row>
    <row r="138" spans="1:12">
      <c r="A138" s="10" t="s">
        <v>21</v>
      </c>
      <c r="B138" s="10">
        <v>137</v>
      </c>
      <c r="C138" s="11"/>
      <c r="D138" s="11"/>
      <c r="E138" s="11"/>
      <c r="F138" s="12">
        <v>0</v>
      </c>
      <c r="G138" s="11"/>
      <c r="H138" s="13">
        <f>C138</f>
        <v>0</v>
      </c>
      <c r="I138" s="14">
        <v>0</v>
      </c>
      <c r="J138" s="14">
        <v>0</v>
      </c>
      <c r="K138" s="13">
        <f>IF(ISBLANK(C138), 0, INDIRECT("J"&amp; C138+1))</f>
        <v>0</v>
      </c>
      <c r="L138" s="9">
        <f>IF(OR(I138=0,K138=0), "good","check")</f>
        <v>0</v>
      </c>
    </row>
    <row r="139" spans="1:12">
      <c r="A139" s="10" t="s">
        <v>21</v>
      </c>
      <c r="B139" s="10">
        <v>138</v>
      </c>
      <c r="C139" s="11"/>
      <c r="D139" s="11"/>
      <c r="E139" s="11"/>
      <c r="F139" s="12">
        <v>0</v>
      </c>
      <c r="G139" s="11"/>
      <c r="H139" s="13">
        <f>C139</f>
        <v>0</v>
      </c>
      <c r="I139" s="14">
        <v>0</v>
      </c>
      <c r="J139" s="14">
        <v>0</v>
      </c>
      <c r="K139" s="13">
        <f>IF(ISBLANK(C139), 0, INDIRECT("J"&amp; C139+1))</f>
        <v>0</v>
      </c>
      <c r="L139" s="9">
        <f>IF(OR(I139=0,K139=0), "good","check")</f>
        <v>0</v>
      </c>
    </row>
    <row r="140" spans="1:12">
      <c r="A140" s="10" t="s">
        <v>21</v>
      </c>
      <c r="B140" s="10">
        <v>139</v>
      </c>
      <c r="C140" s="11"/>
      <c r="D140" s="11"/>
      <c r="E140" s="11"/>
      <c r="F140" s="12">
        <v>0</v>
      </c>
      <c r="G140" s="11"/>
      <c r="H140" s="13">
        <f>C140</f>
        <v>0</v>
      </c>
      <c r="I140" s="14">
        <v>0</v>
      </c>
      <c r="J140" s="14">
        <v>0</v>
      </c>
      <c r="K140" s="13">
        <f>IF(ISBLANK(C140), 0, INDIRECT("J"&amp; C140+1))</f>
        <v>0</v>
      </c>
      <c r="L140" s="9">
        <f>IF(OR(I140=0,K140=0), "good","check")</f>
        <v>0</v>
      </c>
    </row>
    <row r="141" spans="1:12">
      <c r="A141" s="10" t="s">
        <v>21</v>
      </c>
      <c r="B141" s="10">
        <v>140</v>
      </c>
      <c r="C141" s="11"/>
      <c r="D141" s="11"/>
      <c r="E141" s="11"/>
      <c r="F141" s="12">
        <v>0</v>
      </c>
      <c r="G141" s="11"/>
      <c r="H141" s="13">
        <f>C141</f>
        <v>0</v>
      </c>
      <c r="I141" s="14">
        <v>0</v>
      </c>
      <c r="J141" s="14">
        <v>0</v>
      </c>
      <c r="K141" s="13">
        <f>IF(ISBLANK(C141), 0, INDIRECT("J"&amp; C141+1))</f>
        <v>0</v>
      </c>
      <c r="L141" s="9">
        <f>IF(OR(I141=0,K141=0), "good","check")</f>
        <v>0</v>
      </c>
    </row>
    <row r="142" spans="1:12">
      <c r="A142" s="10" t="s">
        <v>21</v>
      </c>
      <c r="B142" s="10">
        <v>141</v>
      </c>
      <c r="C142" s="11"/>
      <c r="D142" s="11"/>
      <c r="E142" s="11"/>
      <c r="F142" s="12">
        <v>0</v>
      </c>
      <c r="G142" s="11"/>
      <c r="H142" s="13">
        <f>C142</f>
        <v>0</v>
      </c>
      <c r="I142" s="14">
        <v>0</v>
      </c>
      <c r="J142" s="14">
        <v>0</v>
      </c>
      <c r="K142" s="13">
        <f>IF(ISBLANK(C142), 0, INDIRECT("J"&amp; C142+1))</f>
        <v>0</v>
      </c>
      <c r="L142" s="9">
        <f>IF(OR(I142=0,K142=0), "good","check")</f>
        <v>0</v>
      </c>
    </row>
    <row r="143" spans="1:12">
      <c r="A143" s="3" t="s">
        <v>18</v>
      </c>
      <c r="B143" s="4">
        <v>142</v>
      </c>
      <c r="C143" s="5" t="s">
        <v>19</v>
      </c>
      <c r="D143" s="6" t="s">
        <v>20</v>
      </c>
      <c r="E143" s="6"/>
      <c r="F143" s="7">
        <v>0</v>
      </c>
      <c r="G143" s="6"/>
      <c r="H143" s="4" t="s">
        <v>22</v>
      </c>
      <c r="I143" s="8">
        <f>IF(COUNTIF(Q7:Q8, 142) &gt; 0, 4 + INDIRECT("S" &amp; MATCH(142, Q7:Q8, 0) + 6), 4)</f>
        <v>0</v>
      </c>
      <c r="J143" s="8">
        <f>IF(COUNTIF(Q7:Q8, 142) &gt; 0, 0 + INDIRECT("T" &amp; MATCH(142, Q7:Q8, 0) + 6), 0)</f>
        <v>0</v>
      </c>
      <c r="K143" s="8">
        <f>IF(COUNTIF(C2:C233, 142) &gt; 0, 0, IF(COUNTIF(Q7:Q8, 142) &gt; 0, 0 + INDIRECT("T" &amp; MATCH(142, Q7:Q8, 0) + 6), 0))</f>
        <v>0</v>
      </c>
      <c r="L143" s="9">
        <f>IF(OR(I143=0,K143=0), "good","check")</f>
        <v>0</v>
      </c>
    </row>
    <row r="144" spans="1:12">
      <c r="A144" s="3" t="s">
        <v>18</v>
      </c>
      <c r="B144" s="4">
        <v>143</v>
      </c>
      <c r="C144" s="5" t="s">
        <v>19</v>
      </c>
      <c r="D144" s="6" t="s">
        <v>20</v>
      </c>
      <c r="E144" s="6"/>
      <c r="F144" s="7">
        <v>0</v>
      </c>
      <c r="G144" s="6"/>
      <c r="H144" s="4" t="s">
        <v>22</v>
      </c>
      <c r="I144" s="8">
        <f>IF(COUNTIF(Q7:Q8, 143) &gt; 0, 1 + INDIRECT("S" &amp; MATCH(143, Q7:Q8, 0) + 6), 1)</f>
        <v>0</v>
      </c>
      <c r="J144" s="8">
        <f>IF(COUNTIF(Q7:Q8, 143) &gt; 0, 1 + INDIRECT("T" &amp; MATCH(143, Q7:Q8, 0) + 6), 1)</f>
        <v>0</v>
      </c>
      <c r="K144" s="8">
        <f>IF(COUNTIF(C2:C233, 143) &gt; 0, 0, IF(COUNTIF(Q7:Q8, 143) &gt; 0, 1 + INDIRECT("T" &amp; MATCH(143, Q7:Q8, 0) + 6), 1))</f>
        <v>0</v>
      </c>
      <c r="L144" s="9">
        <f>IF(OR(I144=0,K144=0), "good","check")</f>
        <v>0</v>
      </c>
    </row>
    <row r="145" spans="1:12">
      <c r="A145" s="3" t="s">
        <v>18</v>
      </c>
      <c r="B145" s="4">
        <v>144</v>
      </c>
      <c r="C145" s="5" t="s">
        <v>19</v>
      </c>
      <c r="D145" s="6" t="s">
        <v>20</v>
      </c>
      <c r="E145" s="6"/>
      <c r="F145" s="7">
        <v>0</v>
      </c>
      <c r="G145" s="6"/>
      <c r="H145" s="4" t="s">
        <v>22</v>
      </c>
      <c r="I145" s="8">
        <f>IF(COUNTIF(Q7:Q8, 144) &gt; 0, 4 + INDIRECT("S" &amp; MATCH(144, Q7:Q8, 0) + 6), 4)</f>
        <v>0</v>
      </c>
      <c r="J145" s="8">
        <f>IF(COUNTIF(Q7:Q8, 144) &gt; 0, 0 + INDIRECT("T" &amp; MATCH(144, Q7:Q8, 0) + 6), 0)</f>
        <v>0</v>
      </c>
      <c r="K145" s="8">
        <f>IF(COUNTIF(C2:C233, 144) &gt; 0, 0, IF(COUNTIF(Q7:Q8, 144) &gt; 0, 0 + INDIRECT("T" &amp; MATCH(144, Q7:Q8, 0) + 6), 0))</f>
        <v>0</v>
      </c>
      <c r="L145" s="9">
        <f>IF(OR(I145=0,K145=0), "good","check")</f>
        <v>0</v>
      </c>
    </row>
    <row r="146" spans="1:12">
      <c r="A146" s="3" t="s">
        <v>18</v>
      </c>
      <c r="B146" s="4">
        <v>145</v>
      </c>
      <c r="C146" s="5" t="s">
        <v>19</v>
      </c>
      <c r="D146" s="6" t="s">
        <v>20</v>
      </c>
      <c r="E146" s="6"/>
      <c r="F146" s="7">
        <v>0</v>
      </c>
      <c r="G146" s="6"/>
      <c r="H146" s="4" t="s">
        <v>22</v>
      </c>
      <c r="I146" s="8">
        <f>IF(COUNTIF(Q7:Q8, 145) &gt; 0, 11 + INDIRECT("S" &amp; MATCH(145, Q7:Q8, 0) + 6), 11)</f>
        <v>0</v>
      </c>
      <c r="J146" s="8">
        <f>IF(COUNTIF(Q7:Q8, 145) &gt; 0, 0 + INDIRECT("T" &amp; MATCH(145, Q7:Q8, 0) + 6), 0)</f>
        <v>0</v>
      </c>
      <c r="K146" s="8">
        <f>IF(COUNTIF(C2:C233, 145) &gt; 0, 0, IF(COUNTIF(Q7:Q8, 145) &gt; 0, 0 + INDIRECT("T" &amp; MATCH(145, Q7:Q8, 0) + 6), 0))</f>
        <v>0</v>
      </c>
      <c r="L146" s="9">
        <f>IF(OR(I146=0,K146=0), "good","check")</f>
        <v>0</v>
      </c>
    </row>
    <row r="147" spans="1:12">
      <c r="A147" s="3" t="s">
        <v>18</v>
      </c>
      <c r="B147" s="4">
        <v>146</v>
      </c>
      <c r="C147" s="5" t="s">
        <v>19</v>
      </c>
      <c r="D147" s="6" t="s">
        <v>20</v>
      </c>
      <c r="E147" s="6"/>
      <c r="F147" s="7">
        <v>0</v>
      </c>
      <c r="G147" s="6"/>
      <c r="H147" s="4" t="s">
        <v>22</v>
      </c>
      <c r="I147" s="8">
        <f>IF(COUNTIF(Q7:Q8, 146) &gt; 0, 10 + INDIRECT("S" &amp; MATCH(146, Q7:Q8, 0) + 6), 10)</f>
        <v>0</v>
      </c>
      <c r="J147" s="8">
        <f>IF(COUNTIF(Q7:Q8, 146) &gt; 0, 0 + INDIRECT("T" &amp; MATCH(146, Q7:Q8, 0) + 6), 0)</f>
        <v>0</v>
      </c>
      <c r="K147" s="8">
        <f>IF(COUNTIF(C2:C233, 146) &gt; 0, 0, IF(COUNTIF(Q7:Q8, 146) &gt; 0, 0 + INDIRECT("T" &amp; MATCH(146, Q7:Q8, 0) + 6), 0))</f>
        <v>0</v>
      </c>
      <c r="L147" s="9">
        <f>IF(OR(I147=0,K147=0), "good","check")</f>
        <v>0</v>
      </c>
    </row>
    <row r="148" spans="1:12">
      <c r="A148" s="3" t="s">
        <v>18</v>
      </c>
      <c r="B148" s="4">
        <v>147</v>
      </c>
      <c r="C148" s="5" t="s">
        <v>19</v>
      </c>
      <c r="D148" s="6" t="s">
        <v>20</v>
      </c>
      <c r="E148" s="6"/>
      <c r="F148" s="7">
        <v>0</v>
      </c>
      <c r="G148" s="6"/>
      <c r="H148" s="4" t="s">
        <v>22</v>
      </c>
      <c r="I148" s="8">
        <f>IF(COUNTIF(Q7:Q8, 147) &gt; 0, 6 + INDIRECT("S" &amp; MATCH(147, Q7:Q8, 0) + 6), 6)</f>
        <v>0</v>
      </c>
      <c r="J148" s="8">
        <f>IF(COUNTIF(Q7:Q8, 147) &gt; 0, 0 + INDIRECT("T" &amp; MATCH(147, Q7:Q8, 0) + 6), 0)</f>
        <v>0</v>
      </c>
      <c r="K148" s="8">
        <f>IF(COUNTIF(C2:C233, 147) &gt; 0, 0, IF(COUNTIF(Q7:Q8, 147) &gt; 0, 0 + INDIRECT("T" &amp; MATCH(147, Q7:Q8, 0) + 6), 0))</f>
        <v>0</v>
      </c>
      <c r="L148" s="9">
        <f>IF(OR(I148=0,K148=0), "good","check")</f>
        <v>0</v>
      </c>
    </row>
    <row r="149" spans="1:12">
      <c r="A149" s="3" t="s">
        <v>18</v>
      </c>
      <c r="B149" s="4">
        <v>148</v>
      </c>
      <c r="C149" s="5" t="s">
        <v>19</v>
      </c>
      <c r="D149" s="6" t="s">
        <v>20</v>
      </c>
      <c r="E149" s="6"/>
      <c r="F149" s="7">
        <v>0</v>
      </c>
      <c r="G149" s="6"/>
      <c r="H149" s="4" t="s">
        <v>22</v>
      </c>
      <c r="I149" s="8">
        <f>IF(COUNTIF(Q7:Q8, 148) &gt; 0, 3 + INDIRECT("S" &amp; MATCH(148, Q7:Q8, 0) + 6), 3)</f>
        <v>0</v>
      </c>
      <c r="J149" s="8">
        <f>IF(COUNTIF(Q7:Q8, 148) &gt; 0, 0 + INDIRECT("T" &amp; MATCH(148, Q7:Q8, 0) + 6), 0)</f>
        <v>0</v>
      </c>
      <c r="K149" s="8">
        <f>IF(COUNTIF(C2:C233, 148) &gt; 0, 0, IF(COUNTIF(Q7:Q8, 148) &gt; 0, 0 + INDIRECT("T" &amp; MATCH(148, Q7:Q8, 0) + 6), 0))</f>
        <v>0</v>
      </c>
      <c r="L149" s="9">
        <f>IF(OR(I149=0,K149=0), "good","check")</f>
        <v>0</v>
      </c>
    </row>
    <row r="150" spans="1:12">
      <c r="A150" s="3" t="s">
        <v>18</v>
      </c>
      <c r="B150" s="4">
        <v>149</v>
      </c>
      <c r="C150" s="5" t="s">
        <v>19</v>
      </c>
      <c r="D150" s="6" t="s">
        <v>20</v>
      </c>
      <c r="E150" s="6"/>
      <c r="F150" s="7">
        <v>0</v>
      </c>
      <c r="G150" s="6"/>
      <c r="H150" s="4" t="s">
        <v>22</v>
      </c>
      <c r="I150" s="8">
        <f>IF(COUNTIF(Q7:Q8, 149) &gt; 0, 5 + INDIRECT("S" &amp; MATCH(149, Q7:Q8, 0) + 6), 5)</f>
        <v>0</v>
      </c>
      <c r="J150" s="8">
        <f>IF(COUNTIF(Q7:Q8, 149) &gt; 0, 0 + INDIRECT("T" &amp; MATCH(149, Q7:Q8, 0) + 6), 0)</f>
        <v>0</v>
      </c>
      <c r="K150" s="8">
        <f>IF(COUNTIF(C2:C233, 149) &gt; 0, 0, IF(COUNTIF(Q7:Q8, 149) &gt; 0, 0 + INDIRECT("T" &amp; MATCH(149, Q7:Q8, 0) + 6), 0))</f>
        <v>0</v>
      </c>
      <c r="L150" s="9">
        <f>IF(OR(I150=0,K150=0), "good","check")</f>
        <v>0</v>
      </c>
    </row>
    <row r="151" spans="1:12">
      <c r="A151" s="3" t="s">
        <v>18</v>
      </c>
      <c r="B151" s="4">
        <v>150</v>
      </c>
      <c r="C151" s="5" t="s">
        <v>19</v>
      </c>
      <c r="D151" s="6" t="s">
        <v>20</v>
      </c>
      <c r="E151" s="6"/>
      <c r="F151" s="7">
        <v>0</v>
      </c>
      <c r="G151" s="6"/>
      <c r="H151" s="4" t="s">
        <v>22</v>
      </c>
      <c r="I151" s="8">
        <f>IF(COUNTIF(Q7:Q8, 150) &gt; 0, 10 + INDIRECT("S" &amp; MATCH(150, Q7:Q8, 0) + 6), 10)</f>
        <v>0</v>
      </c>
      <c r="J151" s="8">
        <f>IF(COUNTIF(Q7:Q8, 150) &gt; 0, 0 + INDIRECT("T" &amp; MATCH(150, Q7:Q8, 0) + 6), 0)</f>
        <v>0</v>
      </c>
      <c r="K151" s="8">
        <f>IF(COUNTIF(C2:C233, 150) &gt; 0, 0, IF(COUNTIF(Q7:Q8, 150) &gt; 0, 0 + INDIRECT("T" &amp; MATCH(150, Q7:Q8, 0) + 6), 0))</f>
        <v>0</v>
      </c>
      <c r="L151" s="9">
        <f>IF(OR(I151=0,K151=0), "good","check")</f>
        <v>0</v>
      </c>
    </row>
    <row r="152" spans="1:12">
      <c r="A152" s="3" t="s">
        <v>18</v>
      </c>
      <c r="B152" s="4">
        <v>151</v>
      </c>
      <c r="C152" s="5" t="s">
        <v>19</v>
      </c>
      <c r="D152" s="6" t="s">
        <v>20</v>
      </c>
      <c r="E152" s="6"/>
      <c r="F152" s="7">
        <v>0</v>
      </c>
      <c r="G152" s="6"/>
      <c r="H152" s="4" t="s">
        <v>22</v>
      </c>
      <c r="I152" s="8">
        <f>IF(COUNTIF(Q7:Q8, 151) &gt; 0, 6 + INDIRECT("S" &amp; MATCH(151, Q7:Q8, 0) + 6), 6)</f>
        <v>0</v>
      </c>
      <c r="J152" s="8">
        <f>IF(COUNTIF(Q7:Q8, 151) &gt; 0, 0 + INDIRECT("T" &amp; MATCH(151, Q7:Q8, 0) + 6), 0)</f>
        <v>0</v>
      </c>
      <c r="K152" s="8">
        <f>IF(COUNTIF(C2:C233, 151) &gt; 0, 0, IF(COUNTIF(Q7:Q8, 151) &gt; 0, 0 + INDIRECT("T" &amp; MATCH(151, Q7:Q8, 0) + 6), 0))</f>
        <v>0</v>
      </c>
      <c r="L152" s="9">
        <f>IF(OR(I152=0,K152=0), "good","check")</f>
        <v>0</v>
      </c>
    </row>
    <row r="153" spans="1:12">
      <c r="A153" s="3" t="s">
        <v>18</v>
      </c>
      <c r="B153" s="4">
        <v>152</v>
      </c>
      <c r="C153" s="5" t="s">
        <v>19</v>
      </c>
      <c r="D153" s="6" t="s">
        <v>20</v>
      </c>
      <c r="E153" s="6"/>
      <c r="F153" s="7">
        <v>0</v>
      </c>
      <c r="G153" s="6"/>
      <c r="H153" s="4" t="s">
        <v>22</v>
      </c>
      <c r="I153" s="8">
        <f>IF(COUNTIF(Q7:Q8, 152) &gt; 0, 7 + INDIRECT("S" &amp; MATCH(152, Q7:Q8, 0) + 6), 7)</f>
        <v>0</v>
      </c>
      <c r="J153" s="8">
        <f>IF(COUNTIF(Q7:Q8, 152) &gt; 0, 0 + INDIRECT("T" &amp; MATCH(152, Q7:Q8, 0) + 6), 0)</f>
        <v>0</v>
      </c>
      <c r="K153" s="8">
        <f>IF(COUNTIF(C2:C233, 152) &gt; 0, 0, IF(COUNTIF(Q7:Q8, 152) &gt; 0, 0 + INDIRECT("T" &amp; MATCH(152, Q7:Q8, 0) + 6), 0))</f>
        <v>0</v>
      </c>
      <c r="L153" s="9">
        <f>IF(OR(I153=0,K153=0), "good","check")</f>
        <v>0</v>
      </c>
    </row>
    <row r="154" spans="1:12">
      <c r="A154" s="3" t="s">
        <v>18</v>
      </c>
      <c r="B154" s="4">
        <v>153</v>
      </c>
      <c r="C154" s="5" t="s">
        <v>19</v>
      </c>
      <c r="D154" s="6" t="s">
        <v>20</v>
      </c>
      <c r="E154" s="6"/>
      <c r="F154" s="7">
        <v>0</v>
      </c>
      <c r="G154" s="6"/>
      <c r="H154" s="4" t="s">
        <v>22</v>
      </c>
      <c r="I154" s="8">
        <f>IF(COUNTIF(Q7:Q8, 153) &gt; 0, 7 + INDIRECT("S" &amp; MATCH(153, Q7:Q8, 0) + 6), 7)</f>
        <v>0</v>
      </c>
      <c r="J154" s="8">
        <f>IF(COUNTIF(Q7:Q8, 153) &gt; 0, 0 + INDIRECT("T" &amp; MATCH(153, Q7:Q8, 0) + 6), 0)</f>
        <v>0</v>
      </c>
      <c r="K154" s="8">
        <f>IF(COUNTIF(C2:C233, 153) &gt; 0, 0, IF(COUNTIF(Q7:Q8, 153) &gt; 0, 0 + INDIRECT("T" &amp; MATCH(153, Q7:Q8, 0) + 6), 0))</f>
        <v>0</v>
      </c>
      <c r="L154" s="9">
        <f>IF(OR(I154=0,K154=0), "good","check")</f>
        <v>0</v>
      </c>
    </row>
    <row r="155" spans="1:12">
      <c r="A155" s="3" t="s">
        <v>18</v>
      </c>
      <c r="B155" s="4">
        <v>154</v>
      </c>
      <c r="C155" s="5" t="s">
        <v>19</v>
      </c>
      <c r="D155" s="6" t="s">
        <v>20</v>
      </c>
      <c r="E155" s="6"/>
      <c r="F155" s="7">
        <v>0</v>
      </c>
      <c r="G155" s="6"/>
      <c r="H155" s="4" t="s">
        <v>22</v>
      </c>
      <c r="I155" s="8">
        <f>IF(COUNTIF(Q7:Q8, 154) &gt; 0, 8 + INDIRECT("S" &amp; MATCH(154, Q7:Q8, 0) + 6), 8)</f>
        <v>0</v>
      </c>
      <c r="J155" s="8">
        <f>IF(COUNTIF(Q7:Q8, 154) &gt; 0, 0 + INDIRECT("T" &amp; MATCH(154, Q7:Q8, 0) + 6), 0)</f>
        <v>0</v>
      </c>
      <c r="K155" s="8">
        <f>IF(COUNTIF(C2:C233, 154) &gt; 0, 0, IF(COUNTIF(Q7:Q8, 154) &gt; 0, 0 + INDIRECT("T" &amp; MATCH(154, Q7:Q8, 0) + 6), 0))</f>
        <v>0</v>
      </c>
      <c r="L155" s="9">
        <f>IF(OR(I155=0,K155=0), "good","check")</f>
        <v>0</v>
      </c>
    </row>
    <row r="156" spans="1:12">
      <c r="A156" s="3" t="s">
        <v>18</v>
      </c>
      <c r="B156" s="4">
        <v>155</v>
      </c>
      <c r="C156" s="5" t="s">
        <v>19</v>
      </c>
      <c r="D156" s="6" t="s">
        <v>20</v>
      </c>
      <c r="E156" s="6"/>
      <c r="F156" s="7">
        <v>0</v>
      </c>
      <c r="G156" s="6"/>
      <c r="H156" s="4" t="s">
        <v>22</v>
      </c>
      <c r="I156" s="8">
        <f>IF(COUNTIF(Q7:Q8, 155) &gt; 0, 3 + INDIRECT("S" &amp; MATCH(155, Q7:Q8, 0) + 6), 3)</f>
        <v>0</v>
      </c>
      <c r="J156" s="8">
        <f>IF(COUNTIF(Q7:Q8, 155) &gt; 0, 0 + INDIRECT("T" &amp; MATCH(155, Q7:Q8, 0) + 6), 0)</f>
        <v>0</v>
      </c>
      <c r="K156" s="8">
        <f>IF(COUNTIF(C2:C233, 155) &gt; 0, 0, IF(COUNTIF(Q7:Q8, 155) &gt; 0, 0 + INDIRECT("T" &amp; MATCH(155, Q7:Q8, 0) + 6), 0))</f>
        <v>0</v>
      </c>
      <c r="L156" s="9">
        <f>IF(OR(I156=0,K156=0), "good","check")</f>
        <v>0</v>
      </c>
    </row>
    <row r="157" spans="1:12">
      <c r="A157" s="3" t="s">
        <v>18</v>
      </c>
      <c r="B157" s="4">
        <v>156</v>
      </c>
      <c r="C157" s="5" t="s">
        <v>19</v>
      </c>
      <c r="D157" s="6" t="s">
        <v>20</v>
      </c>
      <c r="E157" s="6"/>
      <c r="F157" s="7">
        <v>0</v>
      </c>
      <c r="G157" s="6"/>
      <c r="H157" s="4" t="s">
        <v>22</v>
      </c>
      <c r="I157" s="8">
        <f>IF(COUNTIF(Q7:Q8, 156) &gt; 0, 4 + INDIRECT("S" &amp; MATCH(156, Q7:Q8, 0) + 6), 4)</f>
        <v>0</v>
      </c>
      <c r="J157" s="8">
        <f>IF(COUNTIF(Q7:Q8, 156) &gt; 0, 1 + INDIRECT("T" &amp; MATCH(156, Q7:Q8, 0) + 6), 1)</f>
        <v>0</v>
      </c>
      <c r="K157" s="8">
        <f>IF(COUNTIF(C2:C233, 156) &gt; 0, 0, IF(COUNTIF(Q7:Q8, 156) &gt; 0, 1 + INDIRECT("T" &amp; MATCH(156, Q7:Q8, 0) + 6), 1))</f>
        <v>0</v>
      </c>
      <c r="L157" s="9">
        <f>IF(OR(I157=0,K157=0), "good","check")</f>
        <v>0</v>
      </c>
    </row>
    <row r="158" spans="1:12">
      <c r="A158" s="3" t="s">
        <v>18</v>
      </c>
      <c r="B158" s="4">
        <v>157</v>
      </c>
      <c r="C158" s="5" t="s">
        <v>19</v>
      </c>
      <c r="D158" s="6" t="s">
        <v>20</v>
      </c>
      <c r="E158" s="6"/>
      <c r="F158" s="7">
        <v>0</v>
      </c>
      <c r="G158" s="6"/>
      <c r="H158" s="4" t="s">
        <v>22</v>
      </c>
      <c r="I158" s="8">
        <f>IF(COUNTIF(Q7:Q8, 157) &gt; 0, 4 + INDIRECT("S" &amp; MATCH(157, Q7:Q8, 0) + 6), 4)</f>
        <v>0</v>
      </c>
      <c r="J158" s="8">
        <f>IF(COUNTIF(Q7:Q8, 157) &gt; 0, 0 + INDIRECT("T" &amp; MATCH(157, Q7:Q8, 0) + 6), 0)</f>
        <v>0</v>
      </c>
      <c r="K158" s="8">
        <f>IF(COUNTIF(C2:C233, 157) &gt; 0, 0, IF(COUNTIF(Q7:Q8, 157) &gt; 0, 0 + INDIRECT("T" &amp; MATCH(157, Q7:Q8, 0) + 6), 0))</f>
        <v>0</v>
      </c>
      <c r="L158" s="9">
        <f>IF(OR(I158=0,K158=0), "good","check")</f>
        <v>0</v>
      </c>
    </row>
    <row r="159" spans="1:12">
      <c r="A159" s="3" t="s">
        <v>18</v>
      </c>
      <c r="B159" s="4">
        <v>158</v>
      </c>
      <c r="C159" s="5" t="s">
        <v>19</v>
      </c>
      <c r="D159" s="6" t="s">
        <v>20</v>
      </c>
      <c r="E159" s="6"/>
      <c r="F159" s="7">
        <v>0</v>
      </c>
      <c r="G159" s="6"/>
      <c r="H159" s="4" t="s">
        <v>22</v>
      </c>
      <c r="I159" s="8">
        <f>IF(COUNTIF(Q7:Q8, 158) &gt; 0, 8 + INDIRECT("S" &amp; MATCH(158, Q7:Q8, 0) + 6), 8)</f>
        <v>0</v>
      </c>
      <c r="J159" s="8">
        <f>IF(COUNTIF(Q7:Q8, 158) &gt; 0, 0 + INDIRECT("T" &amp; MATCH(158, Q7:Q8, 0) + 6), 0)</f>
        <v>0</v>
      </c>
      <c r="K159" s="8">
        <f>IF(COUNTIF(C2:C233, 158) &gt; 0, 0, IF(COUNTIF(Q7:Q8, 158) &gt; 0, 0 + INDIRECT("T" &amp; MATCH(158, Q7:Q8, 0) + 6), 0))</f>
        <v>0</v>
      </c>
      <c r="L159" s="9">
        <f>IF(OR(I159=0,K159=0), "good","check")</f>
        <v>0</v>
      </c>
    </row>
    <row r="160" spans="1:12">
      <c r="A160" s="3" t="s">
        <v>18</v>
      </c>
      <c r="B160" s="4">
        <v>159</v>
      </c>
      <c r="C160" s="5" t="s">
        <v>19</v>
      </c>
      <c r="D160" s="6" t="s">
        <v>20</v>
      </c>
      <c r="E160" s="6"/>
      <c r="F160" s="7">
        <v>0</v>
      </c>
      <c r="G160" s="6"/>
      <c r="H160" s="4" t="s">
        <v>22</v>
      </c>
      <c r="I160" s="8">
        <f>IF(COUNTIF(Q7:Q8, 159) &gt; 0, 4 + INDIRECT("S" &amp; MATCH(159, Q7:Q8, 0) + 6), 4)</f>
        <v>0</v>
      </c>
      <c r="J160" s="8">
        <f>IF(COUNTIF(Q7:Q8, 159) &gt; 0, 0 + INDIRECT("T" &amp; MATCH(159, Q7:Q8, 0) + 6), 0)</f>
        <v>0</v>
      </c>
      <c r="K160" s="8">
        <f>IF(COUNTIF(C2:C233, 159) &gt; 0, 0, IF(COUNTIF(Q7:Q8, 159) &gt; 0, 0 + INDIRECT("T" &amp; MATCH(159, Q7:Q8, 0) + 6), 0))</f>
        <v>0</v>
      </c>
      <c r="L160" s="9">
        <f>IF(OR(I160=0,K160=0), "good","check")</f>
        <v>0</v>
      </c>
    </row>
    <row r="161" spans="1:12">
      <c r="A161" s="3" t="s">
        <v>18</v>
      </c>
      <c r="B161" s="4">
        <v>160</v>
      </c>
      <c r="C161" s="5" t="s">
        <v>19</v>
      </c>
      <c r="D161" s="6" t="s">
        <v>20</v>
      </c>
      <c r="E161" s="6"/>
      <c r="F161" s="7">
        <v>0</v>
      </c>
      <c r="G161" s="6"/>
      <c r="H161" s="4" t="s">
        <v>22</v>
      </c>
      <c r="I161" s="8">
        <f>IF(COUNTIF(Q7:Q8, 160) &gt; 0, 4 + INDIRECT("S" &amp; MATCH(160, Q7:Q8, 0) + 6), 4)</f>
        <v>0</v>
      </c>
      <c r="J161" s="8">
        <f>IF(COUNTIF(Q7:Q8, 160) &gt; 0, 1 + INDIRECT("T" &amp; MATCH(160, Q7:Q8, 0) + 6), 1)</f>
        <v>0</v>
      </c>
      <c r="K161" s="8">
        <f>IF(COUNTIF(C2:C233, 160) &gt; 0, 0, IF(COUNTIF(Q7:Q8, 160) &gt; 0, 1 + INDIRECT("T" &amp; MATCH(160, Q7:Q8, 0) + 6), 1))</f>
        <v>0</v>
      </c>
      <c r="L161" s="9">
        <f>IF(OR(I161=0,K161=0), "good","check")</f>
        <v>0</v>
      </c>
    </row>
    <row r="162" spans="1:12">
      <c r="A162" s="3" t="s">
        <v>18</v>
      </c>
      <c r="B162" s="4">
        <v>161</v>
      </c>
      <c r="C162" s="5" t="s">
        <v>19</v>
      </c>
      <c r="D162" s="6" t="s">
        <v>20</v>
      </c>
      <c r="E162" s="6"/>
      <c r="F162" s="7">
        <v>0</v>
      </c>
      <c r="G162" s="6"/>
      <c r="H162" s="4" t="s">
        <v>22</v>
      </c>
      <c r="I162" s="8">
        <f>IF(COUNTIF(Q7:Q8, 161) &gt; 0, 3 + INDIRECT("S" &amp; MATCH(161, Q7:Q8, 0) + 6), 3)</f>
        <v>0</v>
      </c>
      <c r="J162" s="8">
        <f>IF(COUNTIF(Q7:Q8, 161) &gt; 0, 0 + INDIRECT("T" &amp; MATCH(161, Q7:Q8, 0) + 6), 0)</f>
        <v>0</v>
      </c>
      <c r="K162" s="8">
        <f>IF(COUNTIF(C2:C233, 161) &gt; 0, 0, IF(COUNTIF(Q7:Q8, 161) &gt; 0, 0 + INDIRECT("T" &amp; MATCH(161, Q7:Q8, 0) + 6), 0))</f>
        <v>0</v>
      </c>
      <c r="L162" s="9">
        <f>IF(OR(I162=0,K162=0), "good","check")</f>
        <v>0</v>
      </c>
    </row>
    <row r="163" spans="1:12">
      <c r="A163" s="3" t="s">
        <v>18</v>
      </c>
      <c r="B163" s="4">
        <v>162</v>
      </c>
      <c r="C163" s="5" t="s">
        <v>19</v>
      </c>
      <c r="D163" s="6" t="s">
        <v>20</v>
      </c>
      <c r="E163" s="6"/>
      <c r="F163" s="7">
        <v>0</v>
      </c>
      <c r="G163" s="6"/>
      <c r="H163" s="4" t="s">
        <v>22</v>
      </c>
      <c r="I163" s="8">
        <f>IF(COUNTIF(Q7:Q8, 162) &gt; 0, 3 + INDIRECT("S" &amp; MATCH(162, Q7:Q8, 0) + 6), 3)</f>
        <v>0</v>
      </c>
      <c r="J163" s="8">
        <f>IF(COUNTIF(Q7:Q8, 162) &gt; 0, 0 + INDIRECT("T" &amp; MATCH(162, Q7:Q8, 0) + 6), 0)</f>
        <v>0</v>
      </c>
      <c r="K163" s="8">
        <f>IF(COUNTIF(C2:C233, 162) &gt; 0, 0, IF(COUNTIF(Q7:Q8, 162) &gt; 0, 0 + INDIRECT("T" &amp; MATCH(162, Q7:Q8, 0) + 6), 0))</f>
        <v>0</v>
      </c>
      <c r="L163" s="9">
        <f>IF(OR(I163=0,K163=0), "good","check")</f>
        <v>0</v>
      </c>
    </row>
    <row r="164" spans="1:12">
      <c r="A164" s="3" t="s">
        <v>18</v>
      </c>
      <c r="B164" s="4">
        <v>163</v>
      </c>
      <c r="C164" s="5" t="s">
        <v>19</v>
      </c>
      <c r="D164" s="6" t="s">
        <v>20</v>
      </c>
      <c r="E164" s="6"/>
      <c r="F164" s="7">
        <v>0</v>
      </c>
      <c r="G164" s="6"/>
      <c r="H164" s="4" t="s">
        <v>22</v>
      </c>
      <c r="I164" s="8">
        <f>IF(COUNTIF(Q7:Q8, 163) &gt; 0, 4 + INDIRECT("S" &amp; MATCH(163, Q7:Q8, 0) + 6), 4)</f>
        <v>0</v>
      </c>
      <c r="J164" s="8">
        <f>IF(COUNTIF(Q7:Q8, 163) &gt; 0, 1 + INDIRECT("T" &amp; MATCH(163, Q7:Q8, 0) + 6), 1)</f>
        <v>0</v>
      </c>
      <c r="K164" s="8">
        <f>IF(COUNTIF(C2:C233, 163) &gt; 0, 0, IF(COUNTIF(Q7:Q8, 163) &gt; 0, 1 + INDIRECT("T" &amp; MATCH(163, Q7:Q8, 0) + 6), 1))</f>
        <v>0</v>
      </c>
      <c r="L164" s="9">
        <f>IF(OR(I164=0,K164=0), "good","check")</f>
        <v>0</v>
      </c>
    </row>
    <row r="165" spans="1:12">
      <c r="A165" s="3" t="s">
        <v>18</v>
      </c>
      <c r="B165" s="4">
        <v>164</v>
      </c>
      <c r="C165" s="5" t="s">
        <v>19</v>
      </c>
      <c r="D165" s="6" t="s">
        <v>20</v>
      </c>
      <c r="E165" s="6"/>
      <c r="F165" s="7">
        <v>0</v>
      </c>
      <c r="G165" s="6"/>
      <c r="H165" s="4" t="s">
        <v>22</v>
      </c>
      <c r="I165" s="8">
        <f>IF(COUNTIF(Q7:Q8, 164) &gt; 0, 4 + INDIRECT("S" &amp; MATCH(164, Q7:Q8, 0) + 6), 4)</f>
        <v>0</v>
      </c>
      <c r="J165" s="8">
        <f>IF(COUNTIF(Q7:Q8, 164) &gt; 0, 0 + INDIRECT("T" &amp; MATCH(164, Q7:Q8, 0) + 6), 0)</f>
        <v>0</v>
      </c>
      <c r="K165" s="8">
        <f>IF(COUNTIF(C2:C233, 164) &gt; 0, 0, IF(COUNTIF(Q7:Q8, 164) &gt; 0, 0 + INDIRECT("T" &amp; MATCH(164, Q7:Q8, 0) + 6), 0))</f>
        <v>0</v>
      </c>
      <c r="L165" s="9">
        <f>IF(OR(I165=0,K165=0), "good","check")</f>
        <v>0</v>
      </c>
    </row>
    <row r="166" spans="1:12">
      <c r="A166" s="3" t="s">
        <v>18</v>
      </c>
      <c r="B166" s="4">
        <v>165</v>
      </c>
      <c r="C166" s="5" t="s">
        <v>19</v>
      </c>
      <c r="D166" s="6" t="s">
        <v>20</v>
      </c>
      <c r="E166" s="6"/>
      <c r="F166" s="7">
        <v>0</v>
      </c>
      <c r="G166" s="6"/>
      <c r="H166" s="4" t="s">
        <v>22</v>
      </c>
      <c r="I166" s="8">
        <f>IF(COUNTIF(Q7:Q8, 165) &gt; 0, 4 + INDIRECT("S" &amp; MATCH(165, Q7:Q8, 0) + 6), 4)</f>
        <v>0</v>
      </c>
      <c r="J166" s="8">
        <f>IF(COUNTIF(Q7:Q8, 165) &gt; 0, 0 + INDIRECT("T" &amp; MATCH(165, Q7:Q8, 0) + 6), 0)</f>
        <v>0</v>
      </c>
      <c r="K166" s="8">
        <f>IF(COUNTIF(C2:C233, 165) &gt; 0, 0, IF(COUNTIF(Q7:Q8, 165) &gt; 0, 0 + INDIRECT("T" &amp; MATCH(165, Q7:Q8, 0) + 6), 0))</f>
        <v>0</v>
      </c>
      <c r="L166" s="9">
        <f>IF(OR(I166=0,K166=0), "good","check")</f>
        <v>0</v>
      </c>
    </row>
    <row r="167" spans="1:12">
      <c r="A167" s="3" t="s">
        <v>18</v>
      </c>
      <c r="B167" s="4">
        <v>166</v>
      </c>
      <c r="C167" s="5" t="s">
        <v>19</v>
      </c>
      <c r="D167" s="6" t="s">
        <v>20</v>
      </c>
      <c r="E167" s="6"/>
      <c r="F167" s="7">
        <v>0</v>
      </c>
      <c r="G167" s="6"/>
      <c r="H167" s="4" t="s">
        <v>22</v>
      </c>
      <c r="I167" s="8">
        <f>IF(COUNTIF(Q7:Q8, 166) &gt; 0, 9 + INDIRECT("S" &amp; MATCH(166, Q7:Q8, 0) + 6), 9)</f>
        <v>0</v>
      </c>
      <c r="J167" s="8">
        <f>IF(COUNTIF(Q7:Q8, 166) &gt; 0, 0 + INDIRECT("T" &amp; MATCH(166, Q7:Q8, 0) + 6), 0)</f>
        <v>0</v>
      </c>
      <c r="K167" s="8">
        <f>IF(COUNTIF(C2:C233, 166) &gt; 0, 0, IF(COUNTIF(Q7:Q8, 166) &gt; 0, 0 + INDIRECT("T" &amp; MATCH(166, Q7:Q8, 0) + 6), 0))</f>
        <v>0</v>
      </c>
      <c r="L167" s="9">
        <f>IF(OR(I167=0,K167=0), "good","check")</f>
        <v>0</v>
      </c>
    </row>
    <row r="168" spans="1:12">
      <c r="A168" s="10" t="s">
        <v>21</v>
      </c>
      <c r="B168" s="10">
        <v>167</v>
      </c>
      <c r="C168" s="11"/>
      <c r="D168" s="11"/>
      <c r="E168" s="11"/>
      <c r="F168" s="12">
        <v>0</v>
      </c>
      <c r="G168" s="11"/>
      <c r="H168" s="13">
        <f>C168</f>
        <v>0</v>
      </c>
      <c r="I168" s="14">
        <v>0</v>
      </c>
      <c r="J168" s="14">
        <v>0</v>
      </c>
      <c r="K168" s="13">
        <f>IF(ISBLANK(C168), 0, INDIRECT("J"&amp; C168+1))</f>
        <v>0</v>
      </c>
      <c r="L168" s="9">
        <f>IF(OR(I168=0,K168=0), "good","check")</f>
        <v>0</v>
      </c>
    </row>
    <row r="169" spans="1:12">
      <c r="A169" s="10" t="s">
        <v>21</v>
      </c>
      <c r="B169" s="10">
        <v>168</v>
      </c>
      <c r="C169" s="11"/>
      <c r="D169" s="11"/>
      <c r="E169" s="11"/>
      <c r="F169" s="12">
        <v>0</v>
      </c>
      <c r="G169" s="11"/>
      <c r="H169" s="13">
        <f>C169</f>
        <v>0</v>
      </c>
      <c r="I169" s="14">
        <v>0</v>
      </c>
      <c r="J169" s="14">
        <v>0</v>
      </c>
      <c r="K169" s="13">
        <f>IF(ISBLANK(C169), 0, INDIRECT("J"&amp; C169+1))</f>
        <v>0</v>
      </c>
      <c r="L169" s="9">
        <f>IF(OR(I169=0,K169=0), "good","check")</f>
        <v>0</v>
      </c>
    </row>
    <row r="170" spans="1:12">
      <c r="A170" s="10" t="s">
        <v>21</v>
      </c>
      <c r="B170" s="10">
        <v>169</v>
      </c>
      <c r="C170" s="11"/>
      <c r="D170" s="11"/>
      <c r="E170" s="11"/>
      <c r="F170" s="12">
        <v>0</v>
      </c>
      <c r="G170" s="11"/>
      <c r="H170" s="13">
        <f>C170</f>
        <v>0</v>
      </c>
      <c r="I170" s="14">
        <v>0</v>
      </c>
      <c r="J170" s="14">
        <v>0</v>
      </c>
      <c r="K170" s="13">
        <f>IF(ISBLANK(C170), 0, INDIRECT("J"&amp; C170+1))</f>
        <v>0</v>
      </c>
      <c r="L170" s="9">
        <f>IF(OR(I170=0,K170=0), "good","check")</f>
        <v>0</v>
      </c>
    </row>
    <row r="171" spans="1:12">
      <c r="A171" s="3" t="s">
        <v>18</v>
      </c>
      <c r="B171" s="4">
        <v>170</v>
      </c>
      <c r="C171" s="5" t="s">
        <v>19</v>
      </c>
      <c r="D171" s="6" t="s">
        <v>20</v>
      </c>
      <c r="E171" s="6"/>
      <c r="F171" s="7">
        <v>0</v>
      </c>
      <c r="G171" s="6"/>
      <c r="H171" s="4" t="s">
        <v>22</v>
      </c>
      <c r="I171" s="8">
        <f>IF(COUNTIF(Q7:Q8, 170) &gt; 0, 0 + INDIRECT("S" &amp; MATCH(170, Q7:Q8, 0) + 6), 0)</f>
        <v>0</v>
      </c>
      <c r="J171" s="8">
        <f>IF(COUNTIF(Q7:Q8, 170) &gt; 0, 3 + INDIRECT("T" &amp; MATCH(170, Q7:Q8, 0) + 6), 3)</f>
        <v>0</v>
      </c>
      <c r="K171" s="8">
        <f>IF(COUNTIF(C2:C233, 170) &gt; 0, 0, IF(COUNTIF(Q7:Q8, 170) &gt; 0, 3 + INDIRECT("T" &amp; MATCH(170, Q7:Q8, 0) + 6), 3))</f>
        <v>0</v>
      </c>
      <c r="L171" s="9">
        <f>IF(OR(I171=0,K171=0), "good","check")</f>
        <v>0</v>
      </c>
    </row>
    <row r="172" spans="1:12">
      <c r="A172" s="17" t="s">
        <v>23</v>
      </c>
      <c r="B172" s="17">
        <v>171</v>
      </c>
      <c r="C172" s="18"/>
      <c r="D172" s="18"/>
      <c r="E172" s="18"/>
      <c r="F172" s="19">
        <v>0</v>
      </c>
      <c r="G172" s="18"/>
      <c r="H172" s="20">
        <f>C172</f>
        <v>0</v>
      </c>
      <c r="I172" s="20">
        <v>0</v>
      </c>
      <c r="J172" s="20">
        <v>0</v>
      </c>
      <c r="K172" s="20">
        <f>IF(ISBLANK(C172), 0, INDIRECT("J"&amp; C172+1))</f>
        <v>0</v>
      </c>
      <c r="L172" s="8">
        <f>IF(ISBLANK(C172), "", IF(OR(I172=0,K172=0), "good","check"))</f>
        <v>0</v>
      </c>
    </row>
  </sheetData>
  <sheetProtection password="C7A4" sheet="1" objects="1" scenarios="1"/>
  <mergeCells count="1">
    <mergeCell ref="N172:O172"/>
  </mergeCells>
  <conditionalFormatting sqref="H110">
    <cfRule type="cellIs" dxfId="1" priority="127" operator="equal">
      <formula>0</formula>
    </cfRule>
  </conditionalFormatting>
  <conditionalFormatting sqref="H111">
    <cfRule type="cellIs" dxfId="1" priority="129" operator="equal">
      <formula>0</formula>
    </cfRule>
  </conditionalFormatting>
  <conditionalFormatting sqref="H112">
    <cfRule type="cellIs" dxfId="1" priority="131" operator="equal">
      <formula>0</formula>
    </cfRule>
  </conditionalFormatting>
  <conditionalFormatting sqref="H113">
    <cfRule type="cellIs" dxfId="1" priority="133" operator="equal">
      <formula>0</formula>
    </cfRule>
  </conditionalFormatting>
  <conditionalFormatting sqref="H114">
    <cfRule type="cellIs" dxfId="1" priority="135" operator="equal">
      <formula>0</formula>
    </cfRule>
  </conditionalFormatting>
  <conditionalFormatting sqref="H115">
    <cfRule type="cellIs" dxfId="1" priority="137" operator="equal">
      <formula>0</formula>
    </cfRule>
  </conditionalFormatting>
  <conditionalFormatting sqref="H116">
    <cfRule type="cellIs" dxfId="1" priority="139" operator="equal">
      <formula>0</formula>
    </cfRule>
  </conditionalFormatting>
  <conditionalFormatting sqref="H117">
    <cfRule type="cellIs" dxfId="1" priority="141" operator="equal">
      <formula>0</formula>
    </cfRule>
  </conditionalFormatting>
  <conditionalFormatting sqref="H118">
    <cfRule type="cellIs" dxfId="1" priority="143" operator="equal">
      <formula>0</formula>
    </cfRule>
  </conditionalFormatting>
  <conditionalFormatting sqref="H119">
    <cfRule type="cellIs" dxfId="1" priority="145" operator="equal">
      <formula>0</formula>
    </cfRule>
  </conditionalFormatting>
  <conditionalFormatting sqref="H120">
    <cfRule type="cellIs" dxfId="1" priority="147" operator="equal">
      <formula>0</formula>
    </cfRule>
  </conditionalFormatting>
  <conditionalFormatting sqref="H121">
    <cfRule type="cellIs" dxfId="1" priority="149" operator="equal">
      <formula>0</formula>
    </cfRule>
  </conditionalFormatting>
  <conditionalFormatting sqref="H122">
    <cfRule type="cellIs" dxfId="1" priority="151" operator="equal">
      <formula>0</formula>
    </cfRule>
  </conditionalFormatting>
  <conditionalFormatting sqref="H123">
    <cfRule type="cellIs" dxfId="1" priority="153" operator="equal">
      <formula>0</formula>
    </cfRule>
  </conditionalFormatting>
  <conditionalFormatting sqref="H124">
    <cfRule type="cellIs" dxfId="1" priority="155" operator="equal">
      <formula>0</formula>
    </cfRule>
  </conditionalFormatting>
  <conditionalFormatting sqref="H125">
    <cfRule type="cellIs" dxfId="1" priority="157" operator="equal">
      <formula>0</formula>
    </cfRule>
  </conditionalFormatting>
  <conditionalFormatting sqref="H126">
    <cfRule type="cellIs" dxfId="1" priority="159" operator="equal">
      <formula>0</formula>
    </cfRule>
  </conditionalFormatting>
  <conditionalFormatting sqref="H127">
    <cfRule type="cellIs" dxfId="1" priority="161" operator="equal">
      <formula>0</formula>
    </cfRule>
  </conditionalFormatting>
  <conditionalFormatting sqref="H128">
    <cfRule type="cellIs" dxfId="1" priority="163" operator="equal">
      <formula>0</formula>
    </cfRule>
  </conditionalFormatting>
  <conditionalFormatting sqref="H129">
    <cfRule type="cellIs" dxfId="1" priority="165" operator="equal">
      <formula>0</formula>
    </cfRule>
  </conditionalFormatting>
  <conditionalFormatting sqref="H130">
    <cfRule type="cellIs" dxfId="1" priority="167" operator="equal">
      <formula>0</formula>
    </cfRule>
  </conditionalFormatting>
  <conditionalFormatting sqref="H131">
    <cfRule type="cellIs" dxfId="1" priority="169" operator="equal">
      <formula>0</formula>
    </cfRule>
  </conditionalFormatting>
  <conditionalFormatting sqref="H132">
    <cfRule type="cellIs" dxfId="1" priority="171" operator="equal">
      <formula>0</formula>
    </cfRule>
  </conditionalFormatting>
  <conditionalFormatting sqref="H133">
    <cfRule type="cellIs" dxfId="1" priority="173" operator="equal">
      <formula>0</formula>
    </cfRule>
  </conditionalFormatting>
  <conditionalFormatting sqref="H134">
    <cfRule type="cellIs" dxfId="1" priority="175" operator="equal">
      <formula>0</formula>
    </cfRule>
  </conditionalFormatting>
  <conditionalFormatting sqref="H135">
    <cfRule type="cellIs" dxfId="1" priority="177" operator="equal">
      <formula>0</formula>
    </cfRule>
  </conditionalFormatting>
  <conditionalFormatting sqref="H136">
    <cfRule type="cellIs" dxfId="1" priority="179" operator="equal">
      <formula>0</formula>
    </cfRule>
  </conditionalFormatting>
  <conditionalFormatting sqref="H137">
    <cfRule type="cellIs" dxfId="1" priority="181" operator="equal">
      <formula>0</formula>
    </cfRule>
  </conditionalFormatting>
  <conditionalFormatting sqref="H138">
    <cfRule type="cellIs" dxfId="1" priority="183" operator="equal">
      <formula>0</formula>
    </cfRule>
  </conditionalFormatting>
  <conditionalFormatting sqref="H139">
    <cfRule type="cellIs" dxfId="1" priority="185" operator="equal">
      <formula>0</formula>
    </cfRule>
  </conditionalFormatting>
  <conditionalFormatting sqref="H140">
    <cfRule type="cellIs" dxfId="1" priority="187" operator="equal">
      <formula>0</formula>
    </cfRule>
  </conditionalFormatting>
  <conditionalFormatting sqref="H141">
    <cfRule type="cellIs" dxfId="1" priority="189" operator="equal">
      <formula>0</formula>
    </cfRule>
  </conditionalFormatting>
  <conditionalFormatting sqref="H142">
    <cfRule type="cellIs" dxfId="1" priority="191" operator="equal">
      <formula>0</formula>
    </cfRule>
  </conditionalFormatting>
  <conditionalFormatting sqref="H168">
    <cfRule type="cellIs" dxfId="1" priority="218" operator="equal">
      <formula>0</formula>
    </cfRule>
  </conditionalFormatting>
  <conditionalFormatting sqref="H169">
    <cfRule type="cellIs" dxfId="1" priority="220" operator="equal">
      <formula>0</formula>
    </cfRule>
  </conditionalFormatting>
  <conditionalFormatting sqref="H170">
    <cfRule type="cellIs" dxfId="1" priority="222" operator="equal">
      <formula>0</formula>
    </cfRule>
  </conditionalFormatting>
  <conditionalFormatting sqref="H172">
    <cfRule type="expression" dxfId="2" priority="225">
      <formula>AND(ISBLANK(C172), NOT(ISBLANK(A172)))</formula>
    </cfRule>
  </conditionalFormatting>
  <conditionalFormatting sqref="H173">
    <cfRule type="expression" dxfId="2" priority="231">
      <formula>AND(ISBLANK(C173), NOT(ISBLANK(A173)))</formula>
    </cfRule>
  </conditionalFormatting>
  <conditionalFormatting sqref="H174">
    <cfRule type="expression" dxfId="2" priority="237">
      <formula>AND(ISBLANK(C174), NOT(ISBLANK(A174)))</formula>
    </cfRule>
  </conditionalFormatting>
  <conditionalFormatting sqref="H175">
    <cfRule type="expression" dxfId="2" priority="243">
      <formula>AND(ISBLANK(C175), NOT(ISBLANK(A175)))</formula>
    </cfRule>
  </conditionalFormatting>
  <conditionalFormatting sqref="H176">
    <cfRule type="expression" dxfId="2" priority="249">
      <formula>AND(ISBLANK(C176), NOT(ISBLANK(A176)))</formula>
    </cfRule>
  </conditionalFormatting>
  <conditionalFormatting sqref="H177">
    <cfRule type="expression" dxfId="2" priority="255">
      <formula>AND(ISBLANK(C177), NOT(ISBLANK(A177)))</formula>
    </cfRule>
  </conditionalFormatting>
  <conditionalFormatting sqref="H178">
    <cfRule type="expression" dxfId="2" priority="261">
      <formula>AND(ISBLANK(C178), NOT(ISBLANK(A178)))</formula>
    </cfRule>
  </conditionalFormatting>
  <conditionalFormatting sqref="H179">
    <cfRule type="expression" dxfId="2" priority="267">
      <formula>AND(ISBLANK(C179), NOT(ISBLANK(A179)))</formula>
    </cfRule>
  </conditionalFormatting>
  <conditionalFormatting sqref="H180">
    <cfRule type="expression" dxfId="2" priority="273">
      <formula>AND(ISBLANK(C180), NOT(ISBLANK(A180)))</formula>
    </cfRule>
  </conditionalFormatting>
  <conditionalFormatting sqref="H181">
    <cfRule type="expression" dxfId="2" priority="279">
      <formula>AND(ISBLANK(C181), NOT(ISBLANK(A181)))</formula>
    </cfRule>
  </conditionalFormatting>
  <conditionalFormatting sqref="H182">
    <cfRule type="expression" dxfId="2" priority="285">
      <formula>AND(ISBLANK(C182), NOT(ISBLANK(A182)))</formula>
    </cfRule>
  </conditionalFormatting>
  <conditionalFormatting sqref="H183">
    <cfRule type="expression" dxfId="2" priority="291">
      <formula>AND(ISBLANK(C183), NOT(ISBLANK(A183)))</formula>
    </cfRule>
  </conditionalFormatting>
  <conditionalFormatting sqref="H184">
    <cfRule type="expression" dxfId="2" priority="297">
      <formula>AND(ISBLANK(C184), NOT(ISBLANK(A184)))</formula>
    </cfRule>
  </conditionalFormatting>
  <conditionalFormatting sqref="H185">
    <cfRule type="expression" dxfId="2" priority="303">
      <formula>AND(ISBLANK(C185), NOT(ISBLANK(A185)))</formula>
    </cfRule>
  </conditionalFormatting>
  <conditionalFormatting sqref="H186">
    <cfRule type="expression" dxfId="2" priority="309">
      <formula>AND(ISBLANK(C186), NOT(ISBLANK(A186)))</formula>
    </cfRule>
  </conditionalFormatting>
  <conditionalFormatting sqref="H187">
    <cfRule type="expression" dxfId="2" priority="315">
      <formula>AND(ISBLANK(C187), NOT(ISBLANK(A187)))</formula>
    </cfRule>
  </conditionalFormatting>
  <conditionalFormatting sqref="H188">
    <cfRule type="expression" dxfId="2" priority="321">
      <formula>AND(ISBLANK(C188), NOT(ISBLANK(A188)))</formula>
    </cfRule>
  </conditionalFormatting>
  <conditionalFormatting sqref="H189">
    <cfRule type="expression" dxfId="2" priority="327">
      <formula>AND(ISBLANK(C189), NOT(ISBLANK(A189)))</formula>
    </cfRule>
  </conditionalFormatting>
  <conditionalFormatting sqref="H190">
    <cfRule type="expression" dxfId="2" priority="333">
      <formula>AND(ISBLANK(C190), NOT(ISBLANK(A190)))</formula>
    </cfRule>
  </conditionalFormatting>
  <conditionalFormatting sqref="H191">
    <cfRule type="expression" dxfId="2" priority="339">
      <formula>AND(ISBLANK(C191), NOT(ISBLANK(A191)))</formula>
    </cfRule>
  </conditionalFormatting>
  <conditionalFormatting sqref="H192">
    <cfRule type="expression" dxfId="2" priority="345">
      <formula>AND(ISBLANK(C192), NOT(ISBLANK(A192)))</formula>
    </cfRule>
  </conditionalFormatting>
  <conditionalFormatting sqref="H193">
    <cfRule type="expression" dxfId="2" priority="351">
      <formula>AND(ISBLANK(C193), NOT(ISBLANK(A193)))</formula>
    </cfRule>
  </conditionalFormatting>
  <conditionalFormatting sqref="H194">
    <cfRule type="expression" dxfId="2" priority="357">
      <formula>AND(ISBLANK(C194), NOT(ISBLANK(A194)))</formula>
    </cfRule>
  </conditionalFormatting>
  <conditionalFormatting sqref="H195">
    <cfRule type="expression" dxfId="2" priority="363">
      <formula>AND(ISBLANK(C195), NOT(ISBLANK(A195)))</formula>
    </cfRule>
  </conditionalFormatting>
  <conditionalFormatting sqref="H196">
    <cfRule type="expression" dxfId="2" priority="369">
      <formula>AND(ISBLANK(C196), NOT(ISBLANK(A196)))</formula>
    </cfRule>
  </conditionalFormatting>
  <conditionalFormatting sqref="H197">
    <cfRule type="expression" dxfId="2" priority="375">
      <formula>AND(ISBLANK(C197), NOT(ISBLANK(A197)))</formula>
    </cfRule>
  </conditionalFormatting>
  <conditionalFormatting sqref="H198">
    <cfRule type="expression" dxfId="2" priority="381">
      <formula>AND(ISBLANK(C198), NOT(ISBLANK(A198)))</formula>
    </cfRule>
  </conditionalFormatting>
  <conditionalFormatting sqref="H199">
    <cfRule type="expression" dxfId="2" priority="387">
      <formula>AND(ISBLANK(C199), NOT(ISBLANK(A199)))</formula>
    </cfRule>
  </conditionalFormatting>
  <conditionalFormatting sqref="H200">
    <cfRule type="expression" dxfId="2" priority="393">
      <formula>AND(ISBLANK(C200), NOT(ISBLANK(A200)))</formula>
    </cfRule>
  </conditionalFormatting>
  <conditionalFormatting sqref="H201">
    <cfRule type="expression" dxfId="2" priority="399">
      <formula>AND(ISBLANK(C201), NOT(ISBLANK(A201)))</formula>
    </cfRule>
  </conditionalFormatting>
  <conditionalFormatting sqref="H202">
    <cfRule type="expression" dxfId="2" priority="405">
      <formula>AND(ISBLANK(C202), NOT(ISBLANK(A202)))</formula>
    </cfRule>
  </conditionalFormatting>
  <conditionalFormatting sqref="H203">
    <cfRule type="expression" dxfId="2" priority="411">
      <formula>AND(ISBLANK(C203), NOT(ISBLANK(A203)))</formula>
    </cfRule>
  </conditionalFormatting>
  <conditionalFormatting sqref="H204">
    <cfRule type="expression" dxfId="2" priority="417">
      <formula>AND(ISBLANK(C204), NOT(ISBLANK(A204)))</formula>
    </cfRule>
  </conditionalFormatting>
  <conditionalFormatting sqref="H205">
    <cfRule type="expression" dxfId="2" priority="423">
      <formula>AND(ISBLANK(C205), NOT(ISBLANK(A205)))</formula>
    </cfRule>
  </conditionalFormatting>
  <conditionalFormatting sqref="H206">
    <cfRule type="expression" dxfId="2" priority="429">
      <formula>AND(ISBLANK(C206), NOT(ISBLANK(A206)))</formula>
    </cfRule>
  </conditionalFormatting>
  <conditionalFormatting sqref="H207">
    <cfRule type="expression" dxfId="2" priority="435">
      <formula>AND(ISBLANK(C207), NOT(ISBLANK(A207)))</formula>
    </cfRule>
  </conditionalFormatting>
  <conditionalFormatting sqref="H208">
    <cfRule type="expression" dxfId="2" priority="441">
      <formula>AND(ISBLANK(C208), NOT(ISBLANK(A208)))</formula>
    </cfRule>
  </conditionalFormatting>
  <conditionalFormatting sqref="H209">
    <cfRule type="expression" dxfId="2" priority="447">
      <formula>AND(ISBLANK(C209), NOT(ISBLANK(A209)))</formula>
    </cfRule>
  </conditionalFormatting>
  <conditionalFormatting sqref="H210">
    <cfRule type="expression" dxfId="2" priority="453">
      <formula>AND(ISBLANK(C210), NOT(ISBLANK(A210)))</formula>
    </cfRule>
  </conditionalFormatting>
  <conditionalFormatting sqref="H211">
    <cfRule type="expression" dxfId="2" priority="459">
      <formula>AND(ISBLANK(C211), NOT(ISBLANK(A211)))</formula>
    </cfRule>
  </conditionalFormatting>
  <conditionalFormatting sqref="H212">
    <cfRule type="expression" dxfId="2" priority="465">
      <formula>AND(ISBLANK(C212), NOT(ISBLANK(A212)))</formula>
    </cfRule>
  </conditionalFormatting>
  <conditionalFormatting sqref="H213">
    <cfRule type="expression" dxfId="2" priority="471">
      <formula>AND(ISBLANK(C213), NOT(ISBLANK(A213)))</formula>
    </cfRule>
  </conditionalFormatting>
  <conditionalFormatting sqref="H214">
    <cfRule type="expression" dxfId="2" priority="477">
      <formula>AND(ISBLANK(C214), NOT(ISBLANK(A214)))</formula>
    </cfRule>
  </conditionalFormatting>
  <conditionalFormatting sqref="H215">
    <cfRule type="expression" dxfId="2" priority="483">
      <formula>AND(ISBLANK(C215), NOT(ISBLANK(A215)))</formula>
    </cfRule>
  </conditionalFormatting>
  <conditionalFormatting sqref="H216">
    <cfRule type="expression" dxfId="2" priority="489">
      <formula>AND(ISBLANK(C216), NOT(ISBLANK(A216)))</formula>
    </cfRule>
  </conditionalFormatting>
  <conditionalFormatting sqref="H217">
    <cfRule type="expression" dxfId="2" priority="495">
      <formula>AND(ISBLANK(C217), NOT(ISBLANK(A217)))</formula>
    </cfRule>
  </conditionalFormatting>
  <conditionalFormatting sqref="H218">
    <cfRule type="expression" dxfId="2" priority="501">
      <formula>AND(ISBLANK(C218), NOT(ISBLANK(A218)))</formula>
    </cfRule>
  </conditionalFormatting>
  <conditionalFormatting sqref="H219">
    <cfRule type="expression" dxfId="2" priority="507">
      <formula>AND(ISBLANK(C219), NOT(ISBLANK(A219)))</formula>
    </cfRule>
  </conditionalFormatting>
  <conditionalFormatting sqref="H220">
    <cfRule type="expression" dxfId="2" priority="513">
      <formula>AND(ISBLANK(C220), NOT(ISBLANK(A220)))</formula>
    </cfRule>
  </conditionalFormatting>
  <conditionalFormatting sqref="H221">
    <cfRule type="expression" dxfId="2" priority="519">
      <formula>AND(ISBLANK(C221), NOT(ISBLANK(A221)))</formula>
    </cfRule>
  </conditionalFormatting>
  <conditionalFormatting sqref="H222">
    <cfRule type="expression" dxfId="2" priority="525">
      <formula>AND(ISBLANK(C222), NOT(ISBLANK(A222)))</formula>
    </cfRule>
  </conditionalFormatting>
  <conditionalFormatting sqref="H223">
    <cfRule type="expression" dxfId="2" priority="531">
      <formula>AND(ISBLANK(C223), NOT(ISBLANK(A223)))</formula>
    </cfRule>
  </conditionalFormatting>
  <conditionalFormatting sqref="H224">
    <cfRule type="expression" dxfId="2" priority="537">
      <formula>AND(ISBLANK(C224), NOT(ISBLANK(A224)))</formula>
    </cfRule>
  </conditionalFormatting>
  <conditionalFormatting sqref="H225">
    <cfRule type="expression" dxfId="2" priority="543">
      <formula>AND(ISBLANK(C225), NOT(ISBLANK(A225)))</formula>
    </cfRule>
  </conditionalFormatting>
  <conditionalFormatting sqref="H226">
    <cfRule type="expression" dxfId="2" priority="549">
      <formula>AND(ISBLANK(C226), NOT(ISBLANK(A226)))</formula>
    </cfRule>
  </conditionalFormatting>
  <conditionalFormatting sqref="H227">
    <cfRule type="expression" dxfId="2" priority="555">
      <formula>AND(ISBLANK(C227), NOT(ISBLANK(A227)))</formula>
    </cfRule>
  </conditionalFormatting>
  <conditionalFormatting sqref="H228">
    <cfRule type="expression" dxfId="2" priority="561">
      <formula>AND(ISBLANK(C228), NOT(ISBLANK(A228)))</formula>
    </cfRule>
  </conditionalFormatting>
  <conditionalFormatting sqref="H229">
    <cfRule type="expression" dxfId="2" priority="567">
      <formula>AND(ISBLANK(C229), NOT(ISBLANK(A229)))</formula>
    </cfRule>
  </conditionalFormatting>
  <conditionalFormatting sqref="H230">
    <cfRule type="expression" dxfId="2" priority="573">
      <formula>AND(ISBLANK(C230), NOT(ISBLANK(A230)))</formula>
    </cfRule>
  </conditionalFormatting>
  <conditionalFormatting sqref="H231">
    <cfRule type="expression" dxfId="2" priority="579">
      <formula>AND(ISBLANK(C231), NOT(ISBLANK(A231)))</formula>
    </cfRule>
  </conditionalFormatting>
  <conditionalFormatting sqref="H232">
    <cfRule type="expression" dxfId="2" priority="585">
      <formula>AND(ISBLANK(C232), NOT(ISBLANK(A232)))</formula>
    </cfRule>
  </conditionalFormatting>
  <conditionalFormatting sqref="H233">
    <cfRule type="expression" dxfId="2" priority="591">
      <formula>AND(ISBLANK(C233), NOT(ISBLANK(A233)))</formula>
    </cfRule>
  </conditionalFormatting>
  <conditionalFormatting sqref="H3">
    <cfRule type="cellIs" dxfId="1" priority="2" operator="equal">
      <formula>0</formula>
    </cfRule>
  </conditionalFormatting>
  <conditionalFormatting sqref="H36">
    <cfRule type="cellIs" dxfId="1" priority="37" operator="equal">
      <formula>0</formula>
    </cfRule>
  </conditionalFormatting>
  <conditionalFormatting sqref="H38">
    <cfRule type="cellIs" dxfId="1" priority="40" operator="equal">
      <formula>0</formula>
    </cfRule>
  </conditionalFormatting>
  <conditionalFormatting sqref="H39">
    <cfRule type="cellIs" dxfId="1" priority="42" operator="equal">
      <formula>0</formula>
    </cfRule>
  </conditionalFormatting>
  <conditionalFormatting sqref="H42">
    <cfRule type="cellIs" dxfId="1" priority="46" operator="equal">
      <formula>0</formula>
    </cfRule>
  </conditionalFormatting>
  <conditionalFormatting sqref="H46">
    <cfRule type="cellIs" dxfId="1" priority="51" operator="equal">
      <formula>0</formula>
    </cfRule>
  </conditionalFormatting>
  <conditionalFormatting sqref="H48">
    <cfRule type="cellIs" dxfId="1" priority="54" operator="equal">
      <formula>0</formula>
    </cfRule>
  </conditionalFormatting>
  <conditionalFormatting sqref="H5">
    <cfRule type="cellIs" dxfId="1" priority="5" operator="equal">
      <formula>0</formula>
    </cfRule>
  </conditionalFormatting>
  <conditionalFormatting sqref="H50">
    <cfRule type="cellIs" dxfId="1" priority="57" operator="equal">
      <formula>0</formula>
    </cfRule>
  </conditionalFormatting>
  <conditionalFormatting sqref="H52">
    <cfRule type="cellIs" dxfId="1" priority="60" operator="equal">
      <formula>0</formula>
    </cfRule>
  </conditionalFormatting>
  <conditionalFormatting sqref="H53">
    <cfRule type="cellIs" dxfId="1" priority="62" operator="equal">
      <formula>0</formula>
    </cfRule>
  </conditionalFormatting>
  <conditionalFormatting sqref="H55">
    <cfRule type="cellIs" dxfId="1" priority="65" operator="equal">
      <formula>0</formula>
    </cfRule>
  </conditionalFormatting>
  <conditionalFormatting sqref="H59">
    <cfRule type="cellIs" dxfId="1" priority="70" operator="equal">
      <formula>0</formula>
    </cfRule>
  </conditionalFormatting>
  <conditionalFormatting sqref="H61">
    <cfRule type="cellIs" dxfId="1" priority="73" operator="equal">
      <formula>0</formula>
    </cfRule>
  </conditionalFormatting>
  <conditionalFormatting sqref="H63">
    <cfRule type="cellIs" dxfId="1" priority="76" operator="equal">
      <formula>0</formula>
    </cfRule>
  </conditionalFormatting>
  <conditionalFormatting sqref="H66">
    <cfRule type="cellIs" dxfId="1" priority="80" operator="equal">
      <formula>0</formula>
    </cfRule>
  </conditionalFormatting>
  <conditionalFormatting sqref="H69">
    <cfRule type="cellIs" dxfId="1" priority="84" operator="equal">
      <formula>0</formula>
    </cfRule>
  </conditionalFormatting>
  <conditionalFormatting sqref="H76">
    <cfRule type="cellIs" dxfId="1" priority="92" operator="equal">
      <formula>0</formula>
    </cfRule>
  </conditionalFormatting>
  <conditionalFormatting sqref="I172">
    <cfRule type="expression" dxfId="2" priority="226">
      <formula>AND(ISBLANK(C172), NOT(ISBLANK(A172)))</formula>
    </cfRule>
  </conditionalFormatting>
  <conditionalFormatting sqref="I173">
    <cfRule type="expression" dxfId="2" priority="232">
      <formula>AND(ISBLANK(C173), NOT(ISBLANK(A173)))</formula>
    </cfRule>
  </conditionalFormatting>
  <conditionalFormatting sqref="I174">
    <cfRule type="expression" dxfId="2" priority="238">
      <formula>AND(ISBLANK(C174), NOT(ISBLANK(A174)))</formula>
    </cfRule>
  </conditionalFormatting>
  <conditionalFormatting sqref="I175">
    <cfRule type="expression" dxfId="2" priority="244">
      <formula>AND(ISBLANK(C175), NOT(ISBLANK(A175)))</formula>
    </cfRule>
  </conditionalFormatting>
  <conditionalFormatting sqref="I176">
    <cfRule type="expression" dxfId="2" priority="250">
      <formula>AND(ISBLANK(C176), NOT(ISBLANK(A176)))</formula>
    </cfRule>
  </conditionalFormatting>
  <conditionalFormatting sqref="I177">
    <cfRule type="expression" dxfId="2" priority="256">
      <formula>AND(ISBLANK(C177), NOT(ISBLANK(A177)))</formula>
    </cfRule>
  </conditionalFormatting>
  <conditionalFormatting sqref="I178">
    <cfRule type="expression" dxfId="2" priority="262">
      <formula>AND(ISBLANK(C178), NOT(ISBLANK(A178)))</formula>
    </cfRule>
  </conditionalFormatting>
  <conditionalFormatting sqref="I179">
    <cfRule type="expression" dxfId="2" priority="268">
      <formula>AND(ISBLANK(C179), NOT(ISBLANK(A179)))</formula>
    </cfRule>
  </conditionalFormatting>
  <conditionalFormatting sqref="I180">
    <cfRule type="expression" dxfId="2" priority="274">
      <formula>AND(ISBLANK(C180), NOT(ISBLANK(A180)))</formula>
    </cfRule>
  </conditionalFormatting>
  <conditionalFormatting sqref="I181">
    <cfRule type="expression" dxfId="2" priority="280">
      <formula>AND(ISBLANK(C181), NOT(ISBLANK(A181)))</formula>
    </cfRule>
  </conditionalFormatting>
  <conditionalFormatting sqref="I182">
    <cfRule type="expression" dxfId="2" priority="286">
      <formula>AND(ISBLANK(C182), NOT(ISBLANK(A182)))</formula>
    </cfRule>
  </conditionalFormatting>
  <conditionalFormatting sqref="I183">
    <cfRule type="expression" dxfId="2" priority="292">
      <formula>AND(ISBLANK(C183), NOT(ISBLANK(A183)))</formula>
    </cfRule>
  </conditionalFormatting>
  <conditionalFormatting sqref="I184">
    <cfRule type="expression" dxfId="2" priority="298">
      <formula>AND(ISBLANK(C184), NOT(ISBLANK(A184)))</formula>
    </cfRule>
  </conditionalFormatting>
  <conditionalFormatting sqref="I185">
    <cfRule type="expression" dxfId="2" priority="304">
      <formula>AND(ISBLANK(C185), NOT(ISBLANK(A185)))</formula>
    </cfRule>
  </conditionalFormatting>
  <conditionalFormatting sqref="I186">
    <cfRule type="expression" dxfId="2" priority="310">
      <formula>AND(ISBLANK(C186), NOT(ISBLANK(A186)))</formula>
    </cfRule>
  </conditionalFormatting>
  <conditionalFormatting sqref="I187">
    <cfRule type="expression" dxfId="2" priority="316">
      <formula>AND(ISBLANK(C187), NOT(ISBLANK(A187)))</formula>
    </cfRule>
  </conditionalFormatting>
  <conditionalFormatting sqref="I188">
    <cfRule type="expression" dxfId="2" priority="322">
      <formula>AND(ISBLANK(C188), NOT(ISBLANK(A188)))</formula>
    </cfRule>
  </conditionalFormatting>
  <conditionalFormatting sqref="I189">
    <cfRule type="expression" dxfId="2" priority="328">
      <formula>AND(ISBLANK(C189), NOT(ISBLANK(A189)))</formula>
    </cfRule>
  </conditionalFormatting>
  <conditionalFormatting sqref="I190">
    <cfRule type="expression" dxfId="2" priority="334">
      <formula>AND(ISBLANK(C190), NOT(ISBLANK(A190)))</formula>
    </cfRule>
  </conditionalFormatting>
  <conditionalFormatting sqref="I191">
    <cfRule type="expression" dxfId="2" priority="340">
      <formula>AND(ISBLANK(C191), NOT(ISBLANK(A191)))</formula>
    </cfRule>
  </conditionalFormatting>
  <conditionalFormatting sqref="I192">
    <cfRule type="expression" dxfId="2" priority="346">
      <formula>AND(ISBLANK(C192), NOT(ISBLANK(A192)))</formula>
    </cfRule>
  </conditionalFormatting>
  <conditionalFormatting sqref="I193">
    <cfRule type="expression" dxfId="2" priority="352">
      <formula>AND(ISBLANK(C193), NOT(ISBLANK(A193)))</formula>
    </cfRule>
  </conditionalFormatting>
  <conditionalFormatting sqref="I194">
    <cfRule type="expression" dxfId="2" priority="358">
      <formula>AND(ISBLANK(C194), NOT(ISBLANK(A194)))</formula>
    </cfRule>
  </conditionalFormatting>
  <conditionalFormatting sqref="I195">
    <cfRule type="expression" dxfId="2" priority="364">
      <formula>AND(ISBLANK(C195), NOT(ISBLANK(A195)))</formula>
    </cfRule>
  </conditionalFormatting>
  <conditionalFormatting sqref="I196">
    <cfRule type="expression" dxfId="2" priority="370">
      <formula>AND(ISBLANK(C196), NOT(ISBLANK(A196)))</formula>
    </cfRule>
  </conditionalFormatting>
  <conditionalFormatting sqref="I197">
    <cfRule type="expression" dxfId="2" priority="376">
      <formula>AND(ISBLANK(C197), NOT(ISBLANK(A197)))</formula>
    </cfRule>
  </conditionalFormatting>
  <conditionalFormatting sqref="I198">
    <cfRule type="expression" dxfId="2" priority="382">
      <formula>AND(ISBLANK(C198), NOT(ISBLANK(A198)))</formula>
    </cfRule>
  </conditionalFormatting>
  <conditionalFormatting sqref="I199">
    <cfRule type="expression" dxfId="2" priority="388">
      <formula>AND(ISBLANK(C199), NOT(ISBLANK(A199)))</formula>
    </cfRule>
  </conditionalFormatting>
  <conditionalFormatting sqref="I200">
    <cfRule type="expression" dxfId="2" priority="394">
      <formula>AND(ISBLANK(C200), NOT(ISBLANK(A200)))</formula>
    </cfRule>
  </conditionalFormatting>
  <conditionalFormatting sqref="I201">
    <cfRule type="expression" dxfId="2" priority="400">
      <formula>AND(ISBLANK(C201), NOT(ISBLANK(A201)))</formula>
    </cfRule>
  </conditionalFormatting>
  <conditionalFormatting sqref="I202">
    <cfRule type="expression" dxfId="2" priority="406">
      <formula>AND(ISBLANK(C202), NOT(ISBLANK(A202)))</formula>
    </cfRule>
  </conditionalFormatting>
  <conditionalFormatting sqref="I203">
    <cfRule type="expression" dxfId="2" priority="412">
      <formula>AND(ISBLANK(C203), NOT(ISBLANK(A203)))</formula>
    </cfRule>
  </conditionalFormatting>
  <conditionalFormatting sqref="I204">
    <cfRule type="expression" dxfId="2" priority="418">
      <formula>AND(ISBLANK(C204), NOT(ISBLANK(A204)))</formula>
    </cfRule>
  </conditionalFormatting>
  <conditionalFormatting sqref="I205">
    <cfRule type="expression" dxfId="2" priority="424">
      <formula>AND(ISBLANK(C205), NOT(ISBLANK(A205)))</formula>
    </cfRule>
  </conditionalFormatting>
  <conditionalFormatting sqref="I206">
    <cfRule type="expression" dxfId="2" priority="430">
      <formula>AND(ISBLANK(C206), NOT(ISBLANK(A206)))</formula>
    </cfRule>
  </conditionalFormatting>
  <conditionalFormatting sqref="I207">
    <cfRule type="expression" dxfId="2" priority="436">
      <formula>AND(ISBLANK(C207), NOT(ISBLANK(A207)))</formula>
    </cfRule>
  </conditionalFormatting>
  <conditionalFormatting sqref="I208">
    <cfRule type="expression" dxfId="2" priority="442">
      <formula>AND(ISBLANK(C208), NOT(ISBLANK(A208)))</formula>
    </cfRule>
  </conditionalFormatting>
  <conditionalFormatting sqref="I209">
    <cfRule type="expression" dxfId="2" priority="448">
      <formula>AND(ISBLANK(C209), NOT(ISBLANK(A209)))</formula>
    </cfRule>
  </conditionalFormatting>
  <conditionalFormatting sqref="I210">
    <cfRule type="expression" dxfId="2" priority="454">
      <formula>AND(ISBLANK(C210), NOT(ISBLANK(A210)))</formula>
    </cfRule>
  </conditionalFormatting>
  <conditionalFormatting sqref="I211">
    <cfRule type="expression" dxfId="2" priority="460">
      <formula>AND(ISBLANK(C211), NOT(ISBLANK(A211)))</formula>
    </cfRule>
  </conditionalFormatting>
  <conditionalFormatting sqref="I212">
    <cfRule type="expression" dxfId="2" priority="466">
      <formula>AND(ISBLANK(C212), NOT(ISBLANK(A212)))</formula>
    </cfRule>
  </conditionalFormatting>
  <conditionalFormatting sqref="I213">
    <cfRule type="expression" dxfId="2" priority="472">
      <formula>AND(ISBLANK(C213), NOT(ISBLANK(A213)))</formula>
    </cfRule>
  </conditionalFormatting>
  <conditionalFormatting sqref="I214">
    <cfRule type="expression" dxfId="2" priority="478">
      <formula>AND(ISBLANK(C214), NOT(ISBLANK(A214)))</formula>
    </cfRule>
  </conditionalFormatting>
  <conditionalFormatting sqref="I215">
    <cfRule type="expression" dxfId="2" priority="484">
      <formula>AND(ISBLANK(C215), NOT(ISBLANK(A215)))</formula>
    </cfRule>
  </conditionalFormatting>
  <conditionalFormatting sqref="I216">
    <cfRule type="expression" dxfId="2" priority="490">
      <formula>AND(ISBLANK(C216), NOT(ISBLANK(A216)))</formula>
    </cfRule>
  </conditionalFormatting>
  <conditionalFormatting sqref="I217">
    <cfRule type="expression" dxfId="2" priority="496">
      <formula>AND(ISBLANK(C217), NOT(ISBLANK(A217)))</formula>
    </cfRule>
  </conditionalFormatting>
  <conditionalFormatting sqref="I218">
    <cfRule type="expression" dxfId="2" priority="502">
      <formula>AND(ISBLANK(C218), NOT(ISBLANK(A218)))</formula>
    </cfRule>
  </conditionalFormatting>
  <conditionalFormatting sqref="I219">
    <cfRule type="expression" dxfId="2" priority="508">
      <formula>AND(ISBLANK(C219), NOT(ISBLANK(A219)))</formula>
    </cfRule>
  </conditionalFormatting>
  <conditionalFormatting sqref="I220">
    <cfRule type="expression" dxfId="2" priority="514">
      <formula>AND(ISBLANK(C220), NOT(ISBLANK(A220)))</formula>
    </cfRule>
  </conditionalFormatting>
  <conditionalFormatting sqref="I221">
    <cfRule type="expression" dxfId="2" priority="520">
      <formula>AND(ISBLANK(C221), NOT(ISBLANK(A221)))</formula>
    </cfRule>
  </conditionalFormatting>
  <conditionalFormatting sqref="I222">
    <cfRule type="expression" dxfId="2" priority="526">
      <formula>AND(ISBLANK(C222), NOT(ISBLANK(A222)))</formula>
    </cfRule>
  </conditionalFormatting>
  <conditionalFormatting sqref="I223">
    <cfRule type="expression" dxfId="2" priority="532">
      <formula>AND(ISBLANK(C223), NOT(ISBLANK(A223)))</formula>
    </cfRule>
  </conditionalFormatting>
  <conditionalFormatting sqref="I224">
    <cfRule type="expression" dxfId="2" priority="538">
      <formula>AND(ISBLANK(C224), NOT(ISBLANK(A224)))</formula>
    </cfRule>
  </conditionalFormatting>
  <conditionalFormatting sqref="I225">
    <cfRule type="expression" dxfId="2" priority="544">
      <formula>AND(ISBLANK(C225), NOT(ISBLANK(A225)))</formula>
    </cfRule>
  </conditionalFormatting>
  <conditionalFormatting sqref="I226">
    <cfRule type="expression" dxfId="2" priority="550">
      <formula>AND(ISBLANK(C226), NOT(ISBLANK(A226)))</formula>
    </cfRule>
  </conditionalFormatting>
  <conditionalFormatting sqref="I227">
    <cfRule type="expression" dxfId="2" priority="556">
      <formula>AND(ISBLANK(C227), NOT(ISBLANK(A227)))</formula>
    </cfRule>
  </conditionalFormatting>
  <conditionalFormatting sqref="I228">
    <cfRule type="expression" dxfId="2" priority="562">
      <formula>AND(ISBLANK(C228), NOT(ISBLANK(A228)))</formula>
    </cfRule>
  </conditionalFormatting>
  <conditionalFormatting sqref="I229">
    <cfRule type="expression" dxfId="2" priority="568">
      <formula>AND(ISBLANK(C229), NOT(ISBLANK(A229)))</formula>
    </cfRule>
  </conditionalFormatting>
  <conditionalFormatting sqref="I230">
    <cfRule type="expression" dxfId="2" priority="574">
      <formula>AND(ISBLANK(C230), NOT(ISBLANK(A230)))</formula>
    </cfRule>
  </conditionalFormatting>
  <conditionalFormatting sqref="I231">
    <cfRule type="expression" dxfId="2" priority="580">
      <formula>AND(ISBLANK(C231), NOT(ISBLANK(A231)))</formula>
    </cfRule>
  </conditionalFormatting>
  <conditionalFormatting sqref="I232">
    <cfRule type="expression" dxfId="2" priority="586">
      <formula>AND(ISBLANK(C232), NOT(ISBLANK(A232)))</formula>
    </cfRule>
  </conditionalFormatting>
  <conditionalFormatting sqref="I233">
    <cfRule type="expression" dxfId="2" priority="592">
      <formula>AND(ISBLANK(C233), NOT(ISBLANK(A233)))</formula>
    </cfRule>
  </conditionalFormatting>
  <conditionalFormatting sqref="J172">
    <cfRule type="expression" dxfId="2" priority="227">
      <formula>AND(ISBLANK(C172), NOT(ISBLANK(A172)))</formula>
    </cfRule>
  </conditionalFormatting>
  <conditionalFormatting sqref="J173">
    <cfRule type="expression" dxfId="2" priority="233">
      <formula>AND(ISBLANK(C173), NOT(ISBLANK(A173)))</formula>
    </cfRule>
  </conditionalFormatting>
  <conditionalFormatting sqref="J174">
    <cfRule type="expression" dxfId="2" priority="239">
      <formula>AND(ISBLANK(C174), NOT(ISBLANK(A174)))</formula>
    </cfRule>
  </conditionalFormatting>
  <conditionalFormatting sqref="J175">
    <cfRule type="expression" dxfId="2" priority="245">
      <formula>AND(ISBLANK(C175), NOT(ISBLANK(A175)))</formula>
    </cfRule>
  </conditionalFormatting>
  <conditionalFormatting sqref="J176">
    <cfRule type="expression" dxfId="2" priority="251">
      <formula>AND(ISBLANK(C176), NOT(ISBLANK(A176)))</formula>
    </cfRule>
  </conditionalFormatting>
  <conditionalFormatting sqref="J177">
    <cfRule type="expression" dxfId="2" priority="257">
      <formula>AND(ISBLANK(C177), NOT(ISBLANK(A177)))</formula>
    </cfRule>
  </conditionalFormatting>
  <conditionalFormatting sqref="J178">
    <cfRule type="expression" dxfId="2" priority="263">
      <formula>AND(ISBLANK(C178), NOT(ISBLANK(A178)))</formula>
    </cfRule>
  </conditionalFormatting>
  <conditionalFormatting sqref="J179">
    <cfRule type="expression" dxfId="2" priority="269">
      <formula>AND(ISBLANK(C179), NOT(ISBLANK(A179)))</formula>
    </cfRule>
  </conditionalFormatting>
  <conditionalFormatting sqref="J180">
    <cfRule type="expression" dxfId="2" priority="275">
      <formula>AND(ISBLANK(C180), NOT(ISBLANK(A180)))</formula>
    </cfRule>
  </conditionalFormatting>
  <conditionalFormatting sqref="J181">
    <cfRule type="expression" dxfId="2" priority="281">
      <formula>AND(ISBLANK(C181), NOT(ISBLANK(A181)))</formula>
    </cfRule>
  </conditionalFormatting>
  <conditionalFormatting sqref="J182">
    <cfRule type="expression" dxfId="2" priority="287">
      <formula>AND(ISBLANK(C182), NOT(ISBLANK(A182)))</formula>
    </cfRule>
  </conditionalFormatting>
  <conditionalFormatting sqref="J183">
    <cfRule type="expression" dxfId="2" priority="293">
      <formula>AND(ISBLANK(C183), NOT(ISBLANK(A183)))</formula>
    </cfRule>
  </conditionalFormatting>
  <conditionalFormatting sqref="J184">
    <cfRule type="expression" dxfId="2" priority="299">
      <formula>AND(ISBLANK(C184), NOT(ISBLANK(A184)))</formula>
    </cfRule>
  </conditionalFormatting>
  <conditionalFormatting sqref="J185">
    <cfRule type="expression" dxfId="2" priority="305">
      <formula>AND(ISBLANK(C185), NOT(ISBLANK(A185)))</formula>
    </cfRule>
  </conditionalFormatting>
  <conditionalFormatting sqref="J186">
    <cfRule type="expression" dxfId="2" priority="311">
      <formula>AND(ISBLANK(C186), NOT(ISBLANK(A186)))</formula>
    </cfRule>
  </conditionalFormatting>
  <conditionalFormatting sqref="J187">
    <cfRule type="expression" dxfId="2" priority="317">
      <formula>AND(ISBLANK(C187), NOT(ISBLANK(A187)))</formula>
    </cfRule>
  </conditionalFormatting>
  <conditionalFormatting sqref="J188">
    <cfRule type="expression" dxfId="2" priority="323">
      <formula>AND(ISBLANK(C188), NOT(ISBLANK(A188)))</formula>
    </cfRule>
  </conditionalFormatting>
  <conditionalFormatting sqref="J189">
    <cfRule type="expression" dxfId="2" priority="329">
      <formula>AND(ISBLANK(C189), NOT(ISBLANK(A189)))</formula>
    </cfRule>
  </conditionalFormatting>
  <conditionalFormatting sqref="J190">
    <cfRule type="expression" dxfId="2" priority="335">
      <formula>AND(ISBLANK(C190), NOT(ISBLANK(A190)))</formula>
    </cfRule>
  </conditionalFormatting>
  <conditionalFormatting sqref="J191">
    <cfRule type="expression" dxfId="2" priority="341">
      <formula>AND(ISBLANK(C191), NOT(ISBLANK(A191)))</formula>
    </cfRule>
  </conditionalFormatting>
  <conditionalFormatting sqref="J192">
    <cfRule type="expression" dxfId="2" priority="347">
      <formula>AND(ISBLANK(C192), NOT(ISBLANK(A192)))</formula>
    </cfRule>
  </conditionalFormatting>
  <conditionalFormatting sqref="J193">
    <cfRule type="expression" dxfId="2" priority="353">
      <formula>AND(ISBLANK(C193), NOT(ISBLANK(A193)))</formula>
    </cfRule>
  </conditionalFormatting>
  <conditionalFormatting sqref="J194">
    <cfRule type="expression" dxfId="2" priority="359">
      <formula>AND(ISBLANK(C194), NOT(ISBLANK(A194)))</formula>
    </cfRule>
  </conditionalFormatting>
  <conditionalFormatting sqref="J195">
    <cfRule type="expression" dxfId="2" priority="365">
      <formula>AND(ISBLANK(C195), NOT(ISBLANK(A195)))</formula>
    </cfRule>
  </conditionalFormatting>
  <conditionalFormatting sqref="J196">
    <cfRule type="expression" dxfId="2" priority="371">
      <formula>AND(ISBLANK(C196), NOT(ISBLANK(A196)))</formula>
    </cfRule>
  </conditionalFormatting>
  <conditionalFormatting sqref="J197">
    <cfRule type="expression" dxfId="2" priority="377">
      <formula>AND(ISBLANK(C197), NOT(ISBLANK(A197)))</formula>
    </cfRule>
  </conditionalFormatting>
  <conditionalFormatting sqref="J198">
    <cfRule type="expression" dxfId="2" priority="383">
      <formula>AND(ISBLANK(C198), NOT(ISBLANK(A198)))</formula>
    </cfRule>
  </conditionalFormatting>
  <conditionalFormatting sqref="J199">
    <cfRule type="expression" dxfId="2" priority="389">
      <formula>AND(ISBLANK(C199), NOT(ISBLANK(A199)))</formula>
    </cfRule>
  </conditionalFormatting>
  <conditionalFormatting sqref="J200">
    <cfRule type="expression" dxfId="2" priority="395">
      <formula>AND(ISBLANK(C200), NOT(ISBLANK(A200)))</formula>
    </cfRule>
  </conditionalFormatting>
  <conditionalFormatting sqref="J201">
    <cfRule type="expression" dxfId="2" priority="401">
      <formula>AND(ISBLANK(C201), NOT(ISBLANK(A201)))</formula>
    </cfRule>
  </conditionalFormatting>
  <conditionalFormatting sqref="J202">
    <cfRule type="expression" dxfId="2" priority="407">
      <formula>AND(ISBLANK(C202), NOT(ISBLANK(A202)))</formula>
    </cfRule>
  </conditionalFormatting>
  <conditionalFormatting sqref="J203">
    <cfRule type="expression" dxfId="2" priority="413">
      <formula>AND(ISBLANK(C203), NOT(ISBLANK(A203)))</formula>
    </cfRule>
  </conditionalFormatting>
  <conditionalFormatting sqref="J204">
    <cfRule type="expression" dxfId="2" priority="419">
      <formula>AND(ISBLANK(C204), NOT(ISBLANK(A204)))</formula>
    </cfRule>
  </conditionalFormatting>
  <conditionalFormatting sqref="J205">
    <cfRule type="expression" dxfId="2" priority="425">
      <formula>AND(ISBLANK(C205), NOT(ISBLANK(A205)))</formula>
    </cfRule>
  </conditionalFormatting>
  <conditionalFormatting sqref="J206">
    <cfRule type="expression" dxfId="2" priority="431">
      <formula>AND(ISBLANK(C206), NOT(ISBLANK(A206)))</formula>
    </cfRule>
  </conditionalFormatting>
  <conditionalFormatting sqref="J207">
    <cfRule type="expression" dxfId="2" priority="437">
      <formula>AND(ISBLANK(C207), NOT(ISBLANK(A207)))</formula>
    </cfRule>
  </conditionalFormatting>
  <conditionalFormatting sqref="J208">
    <cfRule type="expression" dxfId="2" priority="443">
      <formula>AND(ISBLANK(C208), NOT(ISBLANK(A208)))</formula>
    </cfRule>
  </conditionalFormatting>
  <conditionalFormatting sqref="J209">
    <cfRule type="expression" dxfId="2" priority="449">
      <formula>AND(ISBLANK(C209), NOT(ISBLANK(A209)))</formula>
    </cfRule>
  </conditionalFormatting>
  <conditionalFormatting sqref="J210">
    <cfRule type="expression" dxfId="2" priority="455">
      <formula>AND(ISBLANK(C210), NOT(ISBLANK(A210)))</formula>
    </cfRule>
  </conditionalFormatting>
  <conditionalFormatting sqref="J211">
    <cfRule type="expression" dxfId="2" priority="461">
      <formula>AND(ISBLANK(C211), NOT(ISBLANK(A211)))</formula>
    </cfRule>
  </conditionalFormatting>
  <conditionalFormatting sqref="J212">
    <cfRule type="expression" dxfId="2" priority="467">
      <formula>AND(ISBLANK(C212), NOT(ISBLANK(A212)))</formula>
    </cfRule>
  </conditionalFormatting>
  <conditionalFormatting sqref="J213">
    <cfRule type="expression" dxfId="2" priority="473">
      <formula>AND(ISBLANK(C213), NOT(ISBLANK(A213)))</formula>
    </cfRule>
  </conditionalFormatting>
  <conditionalFormatting sqref="J214">
    <cfRule type="expression" dxfId="2" priority="479">
      <formula>AND(ISBLANK(C214), NOT(ISBLANK(A214)))</formula>
    </cfRule>
  </conditionalFormatting>
  <conditionalFormatting sqref="J215">
    <cfRule type="expression" dxfId="2" priority="485">
      <formula>AND(ISBLANK(C215), NOT(ISBLANK(A215)))</formula>
    </cfRule>
  </conditionalFormatting>
  <conditionalFormatting sqref="J216">
    <cfRule type="expression" dxfId="2" priority="491">
      <formula>AND(ISBLANK(C216), NOT(ISBLANK(A216)))</formula>
    </cfRule>
  </conditionalFormatting>
  <conditionalFormatting sqref="J217">
    <cfRule type="expression" dxfId="2" priority="497">
      <formula>AND(ISBLANK(C217), NOT(ISBLANK(A217)))</formula>
    </cfRule>
  </conditionalFormatting>
  <conditionalFormatting sqref="J218">
    <cfRule type="expression" dxfId="2" priority="503">
      <formula>AND(ISBLANK(C218), NOT(ISBLANK(A218)))</formula>
    </cfRule>
  </conditionalFormatting>
  <conditionalFormatting sqref="J219">
    <cfRule type="expression" dxfId="2" priority="509">
      <formula>AND(ISBLANK(C219), NOT(ISBLANK(A219)))</formula>
    </cfRule>
  </conditionalFormatting>
  <conditionalFormatting sqref="J220">
    <cfRule type="expression" dxfId="2" priority="515">
      <formula>AND(ISBLANK(C220), NOT(ISBLANK(A220)))</formula>
    </cfRule>
  </conditionalFormatting>
  <conditionalFormatting sqref="J221">
    <cfRule type="expression" dxfId="2" priority="521">
      <formula>AND(ISBLANK(C221), NOT(ISBLANK(A221)))</formula>
    </cfRule>
  </conditionalFormatting>
  <conditionalFormatting sqref="J222">
    <cfRule type="expression" dxfId="2" priority="527">
      <formula>AND(ISBLANK(C222), NOT(ISBLANK(A222)))</formula>
    </cfRule>
  </conditionalFormatting>
  <conditionalFormatting sqref="J223">
    <cfRule type="expression" dxfId="2" priority="533">
      <formula>AND(ISBLANK(C223), NOT(ISBLANK(A223)))</formula>
    </cfRule>
  </conditionalFormatting>
  <conditionalFormatting sqref="J224">
    <cfRule type="expression" dxfId="2" priority="539">
      <formula>AND(ISBLANK(C224), NOT(ISBLANK(A224)))</formula>
    </cfRule>
  </conditionalFormatting>
  <conditionalFormatting sqref="J225">
    <cfRule type="expression" dxfId="2" priority="545">
      <formula>AND(ISBLANK(C225), NOT(ISBLANK(A225)))</formula>
    </cfRule>
  </conditionalFormatting>
  <conditionalFormatting sqref="J226">
    <cfRule type="expression" dxfId="2" priority="551">
      <formula>AND(ISBLANK(C226), NOT(ISBLANK(A226)))</formula>
    </cfRule>
  </conditionalFormatting>
  <conditionalFormatting sqref="J227">
    <cfRule type="expression" dxfId="2" priority="557">
      <formula>AND(ISBLANK(C227), NOT(ISBLANK(A227)))</formula>
    </cfRule>
  </conditionalFormatting>
  <conditionalFormatting sqref="J228">
    <cfRule type="expression" dxfId="2" priority="563">
      <formula>AND(ISBLANK(C228), NOT(ISBLANK(A228)))</formula>
    </cfRule>
  </conditionalFormatting>
  <conditionalFormatting sqref="J229">
    <cfRule type="expression" dxfId="2" priority="569">
      <formula>AND(ISBLANK(C229), NOT(ISBLANK(A229)))</formula>
    </cfRule>
  </conditionalFormatting>
  <conditionalFormatting sqref="J230">
    <cfRule type="expression" dxfId="2" priority="575">
      <formula>AND(ISBLANK(C230), NOT(ISBLANK(A230)))</formula>
    </cfRule>
  </conditionalFormatting>
  <conditionalFormatting sqref="J231">
    <cfRule type="expression" dxfId="2" priority="581">
      <formula>AND(ISBLANK(C231), NOT(ISBLANK(A231)))</formula>
    </cfRule>
  </conditionalFormatting>
  <conditionalFormatting sqref="J232">
    <cfRule type="expression" dxfId="2" priority="587">
      <formula>AND(ISBLANK(C232), NOT(ISBLANK(A232)))</formula>
    </cfRule>
  </conditionalFormatting>
  <conditionalFormatting sqref="J233">
    <cfRule type="expression" dxfId="2" priority="593">
      <formula>AND(ISBLANK(C233), NOT(ISBLANK(A233)))</formula>
    </cfRule>
  </conditionalFormatting>
  <conditionalFormatting sqref="K172">
    <cfRule type="expression" dxfId="2" priority="228">
      <formula>AND(ISBLANK(C172), NOT(ISBLANK(A172)))</formula>
    </cfRule>
  </conditionalFormatting>
  <conditionalFormatting sqref="K173">
    <cfRule type="expression" dxfId="2" priority="234">
      <formula>AND(ISBLANK(C173), NOT(ISBLANK(A173)))</formula>
    </cfRule>
  </conditionalFormatting>
  <conditionalFormatting sqref="K174">
    <cfRule type="expression" dxfId="2" priority="240">
      <formula>AND(ISBLANK(C174), NOT(ISBLANK(A174)))</formula>
    </cfRule>
  </conditionalFormatting>
  <conditionalFormatting sqref="K175">
    <cfRule type="expression" dxfId="2" priority="246">
      <formula>AND(ISBLANK(C175), NOT(ISBLANK(A175)))</formula>
    </cfRule>
  </conditionalFormatting>
  <conditionalFormatting sqref="K176">
    <cfRule type="expression" dxfId="2" priority="252">
      <formula>AND(ISBLANK(C176), NOT(ISBLANK(A176)))</formula>
    </cfRule>
  </conditionalFormatting>
  <conditionalFormatting sqref="K177">
    <cfRule type="expression" dxfId="2" priority="258">
      <formula>AND(ISBLANK(C177), NOT(ISBLANK(A177)))</formula>
    </cfRule>
  </conditionalFormatting>
  <conditionalFormatting sqref="K178">
    <cfRule type="expression" dxfId="2" priority="264">
      <formula>AND(ISBLANK(C178), NOT(ISBLANK(A178)))</formula>
    </cfRule>
  </conditionalFormatting>
  <conditionalFormatting sqref="K179">
    <cfRule type="expression" dxfId="2" priority="270">
      <formula>AND(ISBLANK(C179), NOT(ISBLANK(A179)))</formula>
    </cfRule>
  </conditionalFormatting>
  <conditionalFormatting sqref="K180">
    <cfRule type="expression" dxfId="2" priority="276">
      <formula>AND(ISBLANK(C180), NOT(ISBLANK(A180)))</formula>
    </cfRule>
  </conditionalFormatting>
  <conditionalFormatting sqref="K181">
    <cfRule type="expression" dxfId="2" priority="282">
      <formula>AND(ISBLANK(C181), NOT(ISBLANK(A181)))</formula>
    </cfRule>
  </conditionalFormatting>
  <conditionalFormatting sqref="K182">
    <cfRule type="expression" dxfId="2" priority="288">
      <formula>AND(ISBLANK(C182), NOT(ISBLANK(A182)))</formula>
    </cfRule>
  </conditionalFormatting>
  <conditionalFormatting sqref="K183">
    <cfRule type="expression" dxfId="2" priority="294">
      <formula>AND(ISBLANK(C183), NOT(ISBLANK(A183)))</formula>
    </cfRule>
  </conditionalFormatting>
  <conditionalFormatting sqref="K184">
    <cfRule type="expression" dxfId="2" priority="300">
      <formula>AND(ISBLANK(C184), NOT(ISBLANK(A184)))</formula>
    </cfRule>
  </conditionalFormatting>
  <conditionalFormatting sqref="K185">
    <cfRule type="expression" dxfId="2" priority="306">
      <formula>AND(ISBLANK(C185), NOT(ISBLANK(A185)))</formula>
    </cfRule>
  </conditionalFormatting>
  <conditionalFormatting sqref="K186">
    <cfRule type="expression" dxfId="2" priority="312">
      <formula>AND(ISBLANK(C186), NOT(ISBLANK(A186)))</formula>
    </cfRule>
  </conditionalFormatting>
  <conditionalFormatting sqref="K187">
    <cfRule type="expression" dxfId="2" priority="318">
      <formula>AND(ISBLANK(C187), NOT(ISBLANK(A187)))</formula>
    </cfRule>
  </conditionalFormatting>
  <conditionalFormatting sqref="K188">
    <cfRule type="expression" dxfId="2" priority="324">
      <formula>AND(ISBLANK(C188), NOT(ISBLANK(A188)))</formula>
    </cfRule>
  </conditionalFormatting>
  <conditionalFormatting sqref="K189">
    <cfRule type="expression" dxfId="2" priority="330">
      <formula>AND(ISBLANK(C189), NOT(ISBLANK(A189)))</formula>
    </cfRule>
  </conditionalFormatting>
  <conditionalFormatting sqref="K190">
    <cfRule type="expression" dxfId="2" priority="336">
      <formula>AND(ISBLANK(C190), NOT(ISBLANK(A190)))</formula>
    </cfRule>
  </conditionalFormatting>
  <conditionalFormatting sqref="K191">
    <cfRule type="expression" dxfId="2" priority="342">
      <formula>AND(ISBLANK(C191), NOT(ISBLANK(A191)))</formula>
    </cfRule>
  </conditionalFormatting>
  <conditionalFormatting sqref="K192">
    <cfRule type="expression" dxfId="2" priority="348">
      <formula>AND(ISBLANK(C192), NOT(ISBLANK(A192)))</formula>
    </cfRule>
  </conditionalFormatting>
  <conditionalFormatting sqref="K193">
    <cfRule type="expression" dxfId="2" priority="354">
      <formula>AND(ISBLANK(C193), NOT(ISBLANK(A193)))</formula>
    </cfRule>
  </conditionalFormatting>
  <conditionalFormatting sqref="K194">
    <cfRule type="expression" dxfId="2" priority="360">
      <formula>AND(ISBLANK(C194), NOT(ISBLANK(A194)))</formula>
    </cfRule>
  </conditionalFormatting>
  <conditionalFormatting sqref="K195">
    <cfRule type="expression" dxfId="2" priority="366">
      <formula>AND(ISBLANK(C195), NOT(ISBLANK(A195)))</formula>
    </cfRule>
  </conditionalFormatting>
  <conditionalFormatting sqref="K196">
    <cfRule type="expression" dxfId="2" priority="372">
      <formula>AND(ISBLANK(C196), NOT(ISBLANK(A196)))</formula>
    </cfRule>
  </conditionalFormatting>
  <conditionalFormatting sqref="K197">
    <cfRule type="expression" dxfId="2" priority="378">
      <formula>AND(ISBLANK(C197), NOT(ISBLANK(A197)))</formula>
    </cfRule>
  </conditionalFormatting>
  <conditionalFormatting sqref="K198">
    <cfRule type="expression" dxfId="2" priority="384">
      <formula>AND(ISBLANK(C198), NOT(ISBLANK(A198)))</formula>
    </cfRule>
  </conditionalFormatting>
  <conditionalFormatting sqref="K199">
    <cfRule type="expression" dxfId="2" priority="390">
      <formula>AND(ISBLANK(C199), NOT(ISBLANK(A199)))</formula>
    </cfRule>
  </conditionalFormatting>
  <conditionalFormatting sqref="K200">
    <cfRule type="expression" dxfId="2" priority="396">
      <formula>AND(ISBLANK(C200), NOT(ISBLANK(A200)))</formula>
    </cfRule>
  </conditionalFormatting>
  <conditionalFormatting sqref="K201">
    <cfRule type="expression" dxfId="2" priority="402">
      <formula>AND(ISBLANK(C201), NOT(ISBLANK(A201)))</formula>
    </cfRule>
  </conditionalFormatting>
  <conditionalFormatting sqref="K202">
    <cfRule type="expression" dxfId="2" priority="408">
      <formula>AND(ISBLANK(C202), NOT(ISBLANK(A202)))</formula>
    </cfRule>
  </conditionalFormatting>
  <conditionalFormatting sqref="K203">
    <cfRule type="expression" dxfId="2" priority="414">
      <formula>AND(ISBLANK(C203), NOT(ISBLANK(A203)))</formula>
    </cfRule>
  </conditionalFormatting>
  <conditionalFormatting sqref="K204">
    <cfRule type="expression" dxfId="2" priority="420">
      <formula>AND(ISBLANK(C204), NOT(ISBLANK(A204)))</formula>
    </cfRule>
  </conditionalFormatting>
  <conditionalFormatting sqref="K205">
    <cfRule type="expression" dxfId="2" priority="426">
      <formula>AND(ISBLANK(C205), NOT(ISBLANK(A205)))</formula>
    </cfRule>
  </conditionalFormatting>
  <conditionalFormatting sqref="K206">
    <cfRule type="expression" dxfId="2" priority="432">
      <formula>AND(ISBLANK(C206), NOT(ISBLANK(A206)))</formula>
    </cfRule>
  </conditionalFormatting>
  <conditionalFormatting sqref="K207">
    <cfRule type="expression" dxfId="2" priority="438">
      <formula>AND(ISBLANK(C207), NOT(ISBLANK(A207)))</formula>
    </cfRule>
  </conditionalFormatting>
  <conditionalFormatting sqref="K208">
    <cfRule type="expression" dxfId="2" priority="444">
      <formula>AND(ISBLANK(C208), NOT(ISBLANK(A208)))</formula>
    </cfRule>
  </conditionalFormatting>
  <conditionalFormatting sqref="K209">
    <cfRule type="expression" dxfId="2" priority="450">
      <formula>AND(ISBLANK(C209), NOT(ISBLANK(A209)))</formula>
    </cfRule>
  </conditionalFormatting>
  <conditionalFormatting sqref="K210">
    <cfRule type="expression" dxfId="2" priority="456">
      <formula>AND(ISBLANK(C210), NOT(ISBLANK(A210)))</formula>
    </cfRule>
  </conditionalFormatting>
  <conditionalFormatting sqref="K211">
    <cfRule type="expression" dxfId="2" priority="462">
      <formula>AND(ISBLANK(C211), NOT(ISBLANK(A211)))</formula>
    </cfRule>
  </conditionalFormatting>
  <conditionalFormatting sqref="K212">
    <cfRule type="expression" dxfId="2" priority="468">
      <formula>AND(ISBLANK(C212), NOT(ISBLANK(A212)))</formula>
    </cfRule>
  </conditionalFormatting>
  <conditionalFormatting sqref="K213">
    <cfRule type="expression" dxfId="2" priority="474">
      <formula>AND(ISBLANK(C213), NOT(ISBLANK(A213)))</formula>
    </cfRule>
  </conditionalFormatting>
  <conditionalFormatting sqref="K214">
    <cfRule type="expression" dxfId="2" priority="480">
      <formula>AND(ISBLANK(C214), NOT(ISBLANK(A214)))</formula>
    </cfRule>
  </conditionalFormatting>
  <conditionalFormatting sqref="K215">
    <cfRule type="expression" dxfId="2" priority="486">
      <formula>AND(ISBLANK(C215), NOT(ISBLANK(A215)))</formula>
    </cfRule>
  </conditionalFormatting>
  <conditionalFormatting sqref="K216">
    <cfRule type="expression" dxfId="2" priority="492">
      <formula>AND(ISBLANK(C216), NOT(ISBLANK(A216)))</formula>
    </cfRule>
  </conditionalFormatting>
  <conditionalFormatting sqref="K217">
    <cfRule type="expression" dxfId="2" priority="498">
      <formula>AND(ISBLANK(C217), NOT(ISBLANK(A217)))</formula>
    </cfRule>
  </conditionalFormatting>
  <conditionalFormatting sqref="K218">
    <cfRule type="expression" dxfId="2" priority="504">
      <formula>AND(ISBLANK(C218), NOT(ISBLANK(A218)))</formula>
    </cfRule>
  </conditionalFormatting>
  <conditionalFormatting sqref="K219">
    <cfRule type="expression" dxfId="2" priority="510">
      <formula>AND(ISBLANK(C219), NOT(ISBLANK(A219)))</formula>
    </cfRule>
  </conditionalFormatting>
  <conditionalFormatting sqref="K220">
    <cfRule type="expression" dxfId="2" priority="516">
      <formula>AND(ISBLANK(C220), NOT(ISBLANK(A220)))</formula>
    </cfRule>
  </conditionalFormatting>
  <conditionalFormatting sqref="K221">
    <cfRule type="expression" dxfId="2" priority="522">
      <formula>AND(ISBLANK(C221), NOT(ISBLANK(A221)))</formula>
    </cfRule>
  </conditionalFormatting>
  <conditionalFormatting sqref="K222">
    <cfRule type="expression" dxfId="2" priority="528">
      <formula>AND(ISBLANK(C222), NOT(ISBLANK(A222)))</formula>
    </cfRule>
  </conditionalFormatting>
  <conditionalFormatting sqref="K223">
    <cfRule type="expression" dxfId="2" priority="534">
      <formula>AND(ISBLANK(C223), NOT(ISBLANK(A223)))</formula>
    </cfRule>
  </conditionalFormatting>
  <conditionalFormatting sqref="K224">
    <cfRule type="expression" dxfId="2" priority="540">
      <formula>AND(ISBLANK(C224), NOT(ISBLANK(A224)))</formula>
    </cfRule>
  </conditionalFormatting>
  <conditionalFormatting sqref="K225">
    <cfRule type="expression" dxfId="2" priority="546">
      <formula>AND(ISBLANK(C225), NOT(ISBLANK(A225)))</formula>
    </cfRule>
  </conditionalFormatting>
  <conditionalFormatting sqref="K226">
    <cfRule type="expression" dxfId="2" priority="552">
      <formula>AND(ISBLANK(C226), NOT(ISBLANK(A226)))</formula>
    </cfRule>
  </conditionalFormatting>
  <conditionalFormatting sqref="K227">
    <cfRule type="expression" dxfId="2" priority="558">
      <formula>AND(ISBLANK(C227), NOT(ISBLANK(A227)))</formula>
    </cfRule>
  </conditionalFormatting>
  <conditionalFormatting sqref="K228">
    <cfRule type="expression" dxfId="2" priority="564">
      <formula>AND(ISBLANK(C228), NOT(ISBLANK(A228)))</formula>
    </cfRule>
  </conditionalFormatting>
  <conditionalFormatting sqref="K229">
    <cfRule type="expression" dxfId="2" priority="570">
      <formula>AND(ISBLANK(C229), NOT(ISBLANK(A229)))</formula>
    </cfRule>
  </conditionalFormatting>
  <conditionalFormatting sqref="K230">
    <cfRule type="expression" dxfId="2" priority="576">
      <formula>AND(ISBLANK(C230), NOT(ISBLANK(A230)))</formula>
    </cfRule>
  </conditionalFormatting>
  <conditionalFormatting sqref="K231">
    <cfRule type="expression" dxfId="2" priority="582">
      <formula>AND(ISBLANK(C231), NOT(ISBLANK(A231)))</formula>
    </cfRule>
  </conditionalFormatting>
  <conditionalFormatting sqref="K232">
    <cfRule type="expression" dxfId="2" priority="588">
      <formula>AND(ISBLANK(C232), NOT(ISBLANK(A232)))</formula>
    </cfRule>
  </conditionalFormatting>
  <conditionalFormatting sqref="K233">
    <cfRule type="expression" dxfId="2" priority="594">
      <formula>AND(ISBLANK(C233), NOT(ISBLANK(A233)))</formula>
    </cfRule>
  </conditionalFormatting>
  <conditionalFormatting sqref="L10">
    <cfRule type="containsText" dxfId="0" priority="11" operator="containsText" text="good">
      <formula>NOT(ISERROR(SEARCH("good",L10)))</formula>
    </cfRule>
  </conditionalFormatting>
  <conditionalFormatting sqref="L100">
    <cfRule type="containsText" dxfId="0" priority="117" operator="containsText" text="good">
      <formula>NOT(ISERROR(SEARCH("good",L100)))</formula>
    </cfRule>
  </conditionalFormatting>
  <conditionalFormatting sqref="L101">
    <cfRule type="containsText" dxfId="0" priority="118" operator="containsText" text="good">
      <formula>NOT(ISERROR(SEARCH("good",L101)))</formula>
    </cfRule>
  </conditionalFormatting>
  <conditionalFormatting sqref="L102">
    <cfRule type="containsText" dxfId="0" priority="119" operator="containsText" text="good">
      <formula>NOT(ISERROR(SEARCH("good",L102)))</formula>
    </cfRule>
  </conditionalFormatting>
  <conditionalFormatting sqref="L103">
    <cfRule type="containsText" dxfId="0" priority="120" operator="containsText" text="good">
      <formula>NOT(ISERROR(SEARCH("good",L103)))</formula>
    </cfRule>
  </conditionalFormatting>
  <conditionalFormatting sqref="L104">
    <cfRule type="containsText" dxfId="0" priority="121" operator="containsText" text="good">
      <formula>NOT(ISERROR(SEARCH("good",L104)))</formula>
    </cfRule>
  </conditionalFormatting>
  <conditionalFormatting sqref="L105">
    <cfRule type="containsText" dxfId="0" priority="122" operator="containsText" text="good">
      <formula>NOT(ISERROR(SEARCH("good",L105)))</formula>
    </cfRule>
  </conditionalFormatting>
  <conditionalFormatting sqref="L106">
    <cfRule type="containsText" dxfId="0" priority="123" operator="containsText" text="good">
      <formula>NOT(ISERROR(SEARCH("good",L106)))</formula>
    </cfRule>
  </conditionalFormatting>
  <conditionalFormatting sqref="L107">
    <cfRule type="containsText" dxfId="0" priority="124" operator="containsText" text="good">
      <formula>NOT(ISERROR(SEARCH("good",L107)))</formula>
    </cfRule>
  </conditionalFormatting>
  <conditionalFormatting sqref="L108">
    <cfRule type="containsText" dxfId="0" priority="125" operator="containsText" text="good">
      <formula>NOT(ISERROR(SEARCH("good",L108)))</formula>
    </cfRule>
  </conditionalFormatting>
  <conditionalFormatting sqref="L109">
    <cfRule type="containsText" dxfId="0" priority="126" operator="containsText" text="good">
      <formula>NOT(ISERROR(SEARCH("good",L109)))</formula>
    </cfRule>
  </conditionalFormatting>
  <conditionalFormatting sqref="L11">
    <cfRule type="containsText" dxfId="0" priority="12" operator="containsText" text="good">
      <formula>NOT(ISERROR(SEARCH("good",L11)))</formula>
    </cfRule>
  </conditionalFormatting>
  <conditionalFormatting sqref="L110">
    <cfRule type="containsText" dxfId="0" priority="128" operator="containsText" text="good">
      <formula>NOT(ISERROR(SEARCH("good",L110)))</formula>
    </cfRule>
  </conditionalFormatting>
  <conditionalFormatting sqref="L111">
    <cfRule type="containsText" dxfId="0" priority="130" operator="containsText" text="good">
      <formula>NOT(ISERROR(SEARCH("good",L111)))</formula>
    </cfRule>
  </conditionalFormatting>
  <conditionalFormatting sqref="L112">
    <cfRule type="containsText" dxfId="0" priority="132" operator="containsText" text="good">
      <formula>NOT(ISERROR(SEARCH("good",L112)))</formula>
    </cfRule>
  </conditionalFormatting>
  <conditionalFormatting sqref="L113">
    <cfRule type="containsText" dxfId="0" priority="134" operator="containsText" text="good">
      <formula>NOT(ISERROR(SEARCH("good",L113)))</formula>
    </cfRule>
  </conditionalFormatting>
  <conditionalFormatting sqref="L114">
    <cfRule type="containsText" dxfId="0" priority="136" operator="containsText" text="good">
      <formula>NOT(ISERROR(SEARCH("good",L114)))</formula>
    </cfRule>
  </conditionalFormatting>
  <conditionalFormatting sqref="L115">
    <cfRule type="containsText" dxfId="0" priority="138" operator="containsText" text="good">
      <formula>NOT(ISERROR(SEARCH("good",L115)))</formula>
    </cfRule>
  </conditionalFormatting>
  <conditionalFormatting sqref="L116">
    <cfRule type="containsText" dxfId="0" priority="140" operator="containsText" text="good">
      <formula>NOT(ISERROR(SEARCH("good",L116)))</formula>
    </cfRule>
  </conditionalFormatting>
  <conditionalFormatting sqref="L117">
    <cfRule type="containsText" dxfId="0" priority="142" operator="containsText" text="good">
      <formula>NOT(ISERROR(SEARCH("good",L117)))</formula>
    </cfRule>
  </conditionalFormatting>
  <conditionalFormatting sqref="L118">
    <cfRule type="containsText" dxfId="0" priority="144" operator="containsText" text="good">
      <formula>NOT(ISERROR(SEARCH("good",L118)))</formula>
    </cfRule>
  </conditionalFormatting>
  <conditionalFormatting sqref="L119">
    <cfRule type="containsText" dxfId="0" priority="146" operator="containsText" text="good">
      <formula>NOT(ISERROR(SEARCH("good",L119)))</formula>
    </cfRule>
  </conditionalFormatting>
  <conditionalFormatting sqref="L12">
    <cfRule type="containsText" dxfId="0" priority="13" operator="containsText" text="good">
      <formula>NOT(ISERROR(SEARCH("good",L12)))</formula>
    </cfRule>
  </conditionalFormatting>
  <conditionalFormatting sqref="L120">
    <cfRule type="containsText" dxfId="0" priority="148" operator="containsText" text="good">
      <formula>NOT(ISERROR(SEARCH("good",L120)))</formula>
    </cfRule>
  </conditionalFormatting>
  <conditionalFormatting sqref="L121">
    <cfRule type="containsText" dxfId="0" priority="150" operator="containsText" text="good">
      <formula>NOT(ISERROR(SEARCH("good",L121)))</formula>
    </cfRule>
  </conditionalFormatting>
  <conditionalFormatting sqref="L122">
    <cfRule type="containsText" dxfId="0" priority="152" operator="containsText" text="good">
      <formula>NOT(ISERROR(SEARCH("good",L122)))</formula>
    </cfRule>
  </conditionalFormatting>
  <conditionalFormatting sqref="L123">
    <cfRule type="containsText" dxfId="0" priority="154" operator="containsText" text="good">
      <formula>NOT(ISERROR(SEARCH("good",L123)))</formula>
    </cfRule>
  </conditionalFormatting>
  <conditionalFormatting sqref="L124">
    <cfRule type="containsText" dxfId="0" priority="156" operator="containsText" text="good">
      <formula>NOT(ISERROR(SEARCH("good",L124)))</formula>
    </cfRule>
  </conditionalFormatting>
  <conditionalFormatting sqref="L125">
    <cfRule type="containsText" dxfId="0" priority="158" operator="containsText" text="good">
      <formula>NOT(ISERROR(SEARCH("good",L125)))</formula>
    </cfRule>
  </conditionalFormatting>
  <conditionalFormatting sqref="L126">
    <cfRule type="containsText" dxfId="0" priority="160" operator="containsText" text="good">
      <formula>NOT(ISERROR(SEARCH("good",L126)))</formula>
    </cfRule>
  </conditionalFormatting>
  <conditionalFormatting sqref="L127">
    <cfRule type="containsText" dxfId="0" priority="162" operator="containsText" text="good">
      <formula>NOT(ISERROR(SEARCH("good",L127)))</formula>
    </cfRule>
  </conditionalFormatting>
  <conditionalFormatting sqref="L128">
    <cfRule type="containsText" dxfId="0" priority="164" operator="containsText" text="good">
      <formula>NOT(ISERROR(SEARCH("good",L128)))</formula>
    </cfRule>
  </conditionalFormatting>
  <conditionalFormatting sqref="L129">
    <cfRule type="containsText" dxfId="0" priority="166" operator="containsText" text="good">
      <formula>NOT(ISERROR(SEARCH("good",L129)))</formula>
    </cfRule>
  </conditionalFormatting>
  <conditionalFormatting sqref="L13">
    <cfRule type="containsText" dxfId="0" priority="14" operator="containsText" text="good">
      <formula>NOT(ISERROR(SEARCH("good",L13)))</formula>
    </cfRule>
  </conditionalFormatting>
  <conditionalFormatting sqref="L130">
    <cfRule type="containsText" dxfId="0" priority="168" operator="containsText" text="good">
      <formula>NOT(ISERROR(SEARCH("good",L130)))</formula>
    </cfRule>
  </conditionalFormatting>
  <conditionalFormatting sqref="L131">
    <cfRule type="containsText" dxfId="0" priority="170" operator="containsText" text="good">
      <formula>NOT(ISERROR(SEARCH("good",L131)))</formula>
    </cfRule>
  </conditionalFormatting>
  <conditionalFormatting sqref="L132">
    <cfRule type="containsText" dxfId="0" priority="172" operator="containsText" text="good">
      <formula>NOT(ISERROR(SEARCH("good",L132)))</formula>
    </cfRule>
  </conditionalFormatting>
  <conditionalFormatting sqref="L133">
    <cfRule type="containsText" dxfId="0" priority="174" operator="containsText" text="good">
      <formula>NOT(ISERROR(SEARCH("good",L133)))</formula>
    </cfRule>
  </conditionalFormatting>
  <conditionalFormatting sqref="L134">
    <cfRule type="containsText" dxfId="0" priority="176" operator="containsText" text="good">
      <formula>NOT(ISERROR(SEARCH("good",L134)))</formula>
    </cfRule>
  </conditionalFormatting>
  <conditionalFormatting sqref="L135">
    <cfRule type="containsText" dxfId="0" priority="178" operator="containsText" text="good">
      <formula>NOT(ISERROR(SEARCH("good",L135)))</formula>
    </cfRule>
  </conditionalFormatting>
  <conditionalFormatting sqref="L136">
    <cfRule type="containsText" dxfId="0" priority="180" operator="containsText" text="good">
      <formula>NOT(ISERROR(SEARCH("good",L136)))</formula>
    </cfRule>
  </conditionalFormatting>
  <conditionalFormatting sqref="L137">
    <cfRule type="containsText" dxfId="0" priority="182" operator="containsText" text="good">
      <formula>NOT(ISERROR(SEARCH("good",L137)))</formula>
    </cfRule>
  </conditionalFormatting>
  <conditionalFormatting sqref="L138">
    <cfRule type="containsText" dxfId="0" priority="184" operator="containsText" text="good">
      <formula>NOT(ISERROR(SEARCH("good",L138)))</formula>
    </cfRule>
  </conditionalFormatting>
  <conditionalFormatting sqref="L139">
    <cfRule type="containsText" dxfId="0" priority="186" operator="containsText" text="good">
      <formula>NOT(ISERROR(SEARCH("good",L139)))</formula>
    </cfRule>
  </conditionalFormatting>
  <conditionalFormatting sqref="L14">
    <cfRule type="containsText" dxfId="0" priority="15" operator="containsText" text="good">
      <formula>NOT(ISERROR(SEARCH("good",L14)))</formula>
    </cfRule>
  </conditionalFormatting>
  <conditionalFormatting sqref="L140">
    <cfRule type="containsText" dxfId="0" priority="188" operator="containsText" text="good">
      <formula>NOT(ISERROR(SEARCH("good",L140)))</formula>
    </cfRule>
  </conditionalFormatting>
  <conditionalFormatting sqref="L141">
    <cfRule type="containsText" dxfId="0" priority="190" operator="containsText" text="good">
      <formula>NOT(ISERROR(SEARCH("good",L141)))</formula>
    </cfRule>
  </conditionalFormatting>
  <conditionalFormatting sqref="L142">
    <cfRule type="containsText" dxfId="0" priority="192" operator="containsText" text="good">
      <formula>NOT(ISERROR(SEARCH("good",L142)))</formula>
    </cfRule>
  </conditionalFormatting>
  <conditionalFormatting sqref="L143">
    <cfRule type="containsText" dxfId="0" priority="193" operator="containsText" text="good">
      <formula>NOT(ISERROR(SEARCH("good",L143)))</formula>
    </cfRule>
  </conditionalFormatting>
  <conditionalFormatting sqref="L144">
    <cfRule type="containsText" dxfId="0" priority="194" operator="containsText" text="good">
      <formula>NOT(ISERROR(SEARCH("good",L144)))</formula>
    </cfRule>
  </conditionalFormatting>
  <conditionalFormatting sqref="L145">
    <cfRule type="containsText" dxfId="0" priority="195" operator="containsText" text="good">
      <formula>NOT(ISERROR(SEARCH("good",L145)))</formula>
    </cfRule>
  </conditionalFormatting>
  <conditionalFormatting sqref="L146">
    <cfRule type="containsText" dxfId="0" priority="196" operator="containsText" text="good">
      <formula>NOT(ISERROR(SEARCH("good",L146)))</formula>
    </cfRule>
  </conditionalFormatting>
  <conditionalFormatting sqref="L147">
    <cfRule type="containsText" dxfId="0" priority="197" operator="containsText" text="good">
      <formula>NOT(ISERROR(SEARCH("good",L147)))</formula>
    </cfRule>
  </conditionalFormatting>
  <conditionalFormatting sqref="L148">
    <cfRule type="containsText" dxfId="0" priority="198" operator="containsText" text="good">
      <formula>NOT(ISERROR(SEARCH("good",L148)))</formula>
    </cfRule>
  </conditionalFormatting>
  <conditionalFormatting sqref="L149">
    <cfRule type="containsText" dxfId="0" priority="199" operator="containsText" text="good">
      <formula>NOT(ISERROR(SEARCH("good",L149)))</formula>
    </cfRule>
  </conditionalFormatting>
  <conditionalFormatting sqref="L15">
    <cfRule type="containsText" dxfId="0" priority="16" operator="containsText" text="good">
      <formula>NOT(ISERROR(SEARCH("good",L15)))</formula>
    </cfRule>
  </conditionalFormatting>
  <conditionalFormatting sqref="L150">
    <cfRule type="containsText" dxfId="0" priority="200" operator="containsText" text="good">
      <formula>NOT(ISERROR(SEARCH("good",L150)))</formula>
    </cfRule>
  </conditionalFormatting>
  <conditionalFormatting sqref="L151">
    <cfRule type="containsText" dxfId="0" priority="201" operator="containsText" text="good">
      <formula>NOT(ISERROR(SEARCH("good",L151)))</formula>
    </cfRule>
  </conditionalFormatting>
  <conditionalFormatting sqref="L152">
    <cfRule type="containsText" dxfId="0" priority="202" operator="containsText" text="good">
      <formula>NOT(ISERROR(SEARCH("good",L152)))</formula>
    </cfRule>
  </conditionalFormatting>
  <conditionalFormatting sqref="L153">
    <cfRule type="containsText" dxfId="0" priority="203" operator="containsText" text="good">
      <formula>NOT(ISERROR(SEARCH("good",L153)))</formula>
    </cfRule>
  </conditionalFormatting>
  <conditionalFormatting sqref="L154">
    <cfRule type="containsText" dxfId="0" priority="204" operator="containsText" text="good">
      <formula>NOT(ISERROR(SEARCH("good",L154)))</formula>
    </cfRule>
  </conditionalFormatting>
  <conditionalFormatting sqref="L155">
    <cfRule type="containsText" dxfId="0" priority="205" operator="containsText" text="good">
      <formula>NOT(ISERROR(SEARCH("good",L155)))</formula>
    </cfRule>
  </conditionalFormatting>
  <conditionalFormatting sqref="L156">
    <cfRule type="containsText" dxfId="0" priority="206" operator="containsText" text="good">
      <formula>NOT(ISERROR(SEARCH("good",L156)))</formula>
    </cfRule>
  </conditionalFormatting>
  <conditionalFormatting sqref="L157">
    <cfRule type="containsText" dxfId="0" priority="207" operator="containsText" text="good">
      <formula>NOT(ISERROR(SEARCH("good",L157)))</formula>
    </cfRule>
  </conditionalFormatting>
  <conditionalFormatting sqref="L158">
    <cfRule type="containsText" dxfId="0" priority="208" operator="containsText" text="good">
      <formula>NOT(ISERROR(SEARCH("good",L158)))</formula>
    </cfRule>
  </conditionalFormatting>
  <conditionalFormatting sqref="L159">
    <cfRule type="containsText" dxfId="0" priority="209" operator="containsText" text="good">
      <formula>NOT(ISERROR(SEARCH("good",L159)))</formula>
    </cfRule>
  </conditionalFormatting>
  <conditionalFormatting sqref="L16">
    <cfRule type="containsText" dxfId="0" priority="17" operator="containsText" text="good">
      <formula>NOT(ISERROR(SEARCH("good",L16)))</formula>
    </cfRule>
  </conditionalFormatting>
  <conditionalFormatting sqref="L160">
    <cfRule type="containsText" dxfId="0" priority="210" operator="containsText" text="good">
      <formula>NOT(ISERROR(SEARCH("good",L160)))</formula>
    </cfRule>
  </conditionalFormatting>
  <conditionalFormatting sqref="L161">
    <cfRule type="containsText" dxfId="0" priority="211" operator="containsText" text="good">
      <formula>NOT(ISERROR(SEARCH("good",L161)))</formula>
    </cfRule>
  </conditionalFormatting>
  <conditionalFormatting sqref="L162">
    <cfRule type="containsText" dxfId="0" priority="212" operator="containsText" text="good">
      <formula>NOT(ISERROR(SEARCH("good",L162)))</formula>
    </cfRule>
  </conditionalFormatting>
  <conditionalFormatting sqref="L163">
    <cfRule type="containsText" dxfId="0" priority="213" operator="containsText" text="good">
      <formula>NOT(ISERROR(SEARCH("good",L163)))</formula>
    </cfRule>
  </conditionalFormatting>
  <conditionalFormatting sqref="L164">
    <cfRule type="containsText" dxfId="0" priority="214" operator="containsText" text="good">
      <formula>NOT(ISERROR(SEARCH("good",L164)))</formula>
    </cfRule>
  </conditionalFormatting>
  <conditionalFormatting sqref="L165">
    <cfRule type="containsText" dxfId="0" priority="215" operator="containsText" text="good">
      <formula>NOT(ISERROR(SEARCH("good",L165)))</formula>
    </cfRule>
  </conditionalFormatting>
  <conditionalFormatting sqref="L166">
    <cfRule type="containsText" dxfId="0" priority="216" operator="containsText" text="good">
      <formula>NOT(ISERROR(SEARCH("good",L166)))</formula>
    </cfRule>
  </conditionalFormatting>
  <conditionalFormatting sqref="L167">
    <cfRule type="containsText" dxfId="0" priority="217" operator="containsText" text="good">
      <formula>NOT(ISERROR(SEARCH("good",L167)))</formula>
    </cfRule>
  </conditionalFormatting>
  <conditionalFormatting sqref="L168">
    <cfRule type="containsText" dxfId="0" priority="219" operator="containsText" text="good">
      <formula>NOT(ISERROR(SEARCH("good",L168)))</formula>
    </cfRule>
  </conditionalFormatting>
  <conditionalFormatting sqref="L169">
    <cfRule type="containsText" dxfId="0" priority="221" operator="containsText" text="good">
      <formula>NOT(ISERROR(SEARCH("good",L169)))</formula>
    </cfRule>
  </conditionalFormatting>
  <conditionalFormatting sqref="L17">
    <cfRule type="containsText" dxfId="0" priority="18" operator="containsText" text="good">
      <formula>NOT(ISERROR(SEARCH("good",L17)))</formula>
    </cfRule>
  </conditionalFormatting>
  <conditionalFormatting sqref="L170">
    <cfRule type="containsText" dxfId="0" priority="223" operator="containsText" text="good">
      <formula>NOT(ISERROR(SEARCH("good",L170)))</formula>
    </cfRule>
  </conditionalFormatting>
  <conditionalFormatting sqref="L171">
    <cfRule type="containsText" dxfId="0" priority="224" operator="containsText" text="good">
      <formula>NOT(ISERROR(SEARCH("good",L171)))</formula>
    </cfRule>
  </conditionalFormatting>
  <conditionalFormatting sqref="L172">
    <cfRule type="containsText" dxfId="3" priority="229" operator="containsText" text="check">
      <formula>NOT(ISERROR(SEARCH("check",L172)))</formula>
    </cfRule>
    <cfRule type="containsText" dxfId="0" priority="230" operator="containsText" text="good">
      <formula>NOT(ISERROR(SEARCH("good",L172)))</formula>
    </cfRule>
  </conditionalFormatting>
  <conditionalFormatting sqref="L173">
    <cfRule type="containsText" dxfId="3" priority="235" operator="containsText" text="check">
      <formula>NOT(ISERROR(SEARCH("check",L173)))</formula>
    </cfRule>
    <cfRule type="containsText" dxfId="0" priority="236" operator="containsText" text="good">
      <formula>NOT(ISERROR(SEARCH("good",L173)))</formula>
    </cfRule>
  </conditionalFormatting>
  <conditionalFormatting sqref="L174">
    <cfRule type="containsText" dxfId="3" priority="241" operator="containsText" text="check">
      <formula>NOT(ISERROR(SEARCH("check",L174)))</formula>
    </cfRule>
    <cfRule type="containsText" dxfId="0" priority="242" operator="containsText" text="good">
      <formula>NOT(ISERROR(SEARCH("good",L174)))</formula>
    </cfRule>
  </conditionalFormatting>
  <conditionalFormatting sqref="L175">
    <cfRule type="containsText" dxfId="3" priority="247" operator="containsText" text="check">
      <formula>NOT(ISERROR(SEARCH("check",L175)))</formula>
    </cfRule>
    <cfRule type="containsText" dxfId="0" priority="248" operator="containsText" text="good">
      <formula>NOT(ISERROR(SEARCH("good",L175)))</formula>
    </cfRule>
  </conditionalFormatting>
  <conditionalFormatting sqref="L176">
    <cfRule type="containsText" dxfId="3" priority="253" operator="containsText" text="check">
      <formula>NOT(ISERROR(SEARCH("check",L176)))</formula>
    </cfRule>
    <cfRule type="containsText" dxfId="0" priority="254" operator="containsText" text="good">
      <formula>NOT(ISERROR(SEARCH("good",L176)))</formula>
    </cfRule>
  </conditionalFormatting>
  <conditionalFormatting sqref="L177">
    <cfRule type="containsText" dxfId="3" priority="259" operator="containsText" text="check">
      <formula>NOT(ISERROR(SEARCH("check",L177)))</formula>
    </cfRule>
    <cfRule type="containsText" dxfId="0" priority="260" operator="containsText" text="good">
      <formula>NOT(ISERROR(SEARCH("good",L177)))</formula>
    </cfRule>
  </conditionalFormatting>
  <conditionalFormatting sqref="L178">
    <cfRule type="containsText" dxfId="3" priority="265" operator="containsText" text="check">
      <formula>NOT(ISERROR(SEARCH("check",L178)))</formula>
    </cfRule>
    <cfRule type="containsText" dxfId="0" priority="266" operator="containsText" text="good">
      <formula>NOT(ISERROR(SEARCH("good",L178)))</formula>
    </cfRule>
  </conditionalFormatting>
  <conditionalFormatting sqref="L179">
    <cfRule type="containsText" dxfId="3" priority="271" operator="containsText" text="check">
      <formula>NOT(ISERROR(SEARCH("check",L179)))</formula>
    </cfRule>
    <cfRule type="containsText" dxfId="0" priority="272" operator="containsText" text="good">
      <formula>NOT(ISERROR(SEARCH("good",L179)))</formula>
    </cfRule>
  </conditionalFormatting>
  <conditionalFormatting sqref="L18">
    <cfRule type="containsText" dxfId="0" priority="19" operator="containsText" text="good">
      <formula>NOT(ISERROR(SEARCH("good",L18)))</formula>
    </cfRule>
  </conditionalFormatting>
  <conditionalFormatting sqref="L180">
    <cfRule type="containsText" dxfId="3" priority="277" operator="containsText" text="check">
      <formula>NOT(ISERROR(SEARCH("check",L180)))</formula>
    </cfRule>
    <cfRule type="containsText" dxfId="0" priority="278" operator="containsText" text="good">
      <formula>NOT(ISERROR(SEARCH("good",L180)))</formula>
    </cfRule>
  </conditionalFormatting>
  <conditionalFormatting sqref="L181">
    <cfRule type="containsText" dxfId="3" priority="283" operator="containsText" text="check">
      <formula>NOT(ISERROR(SEARCH("check",L181)))</formula>
    </cfRule>
    <cfRule type="containsText" dxfId="0" priority="284" operator="containsText" text="good">
      <formula>NOT(ISERROR(SEARCH("good",L181)))</formula>
    </cfRule>
  </conditionalFormatting>
  <conditionalFormatting sqref="L182">
    <cfRule type="containsText" dxfId="3" priority="289" operator="containsText" text="check">
      <formula>NOT(ISERROR(SEARCH("check",L182)))</formula>
    </cfRule>
    <cfRule type="containsText" dxfId="0" priority="290" operator="containsText" text="good">
      <formula>NOT(ISERROR(SEARCH("good",L182)))</formula>
    </cfRule>
  </conditionalFormatting>
  <conditionalFormatting sqref="L183">
    <cfRule type="containsText" dxfId="3" priority="295" operator="containsText" text="check">
      <formula>NOT(ISERROR(SEARCH("check",L183)))</formula>
    </cfRule>
    <cfRule type="containsText" dxfId="0" priority="296" operator="containsText" text="good">
      <formula>NOT(ISERROR(SEARCH("good",L183)))</formula>
    </cfRule>
  </conditionalFormatting>
  <conditionalFormatting sqref="L184">
    <cfRule type="containsText" dxfId="3" priority="301" operator="containsText" text="check">
      <formula>NOT(ISERROR(SEARCH("check",L184)))</formula>
    </cfRule>
    <cfRule type="containsText" dxfId="0" priority="302" operator="containsText" text="good">
      <formula>NOT(ISERROR(SEARCH("good",L184)))</formula>
    </cfRule>
  </conditionalFormatting>
  <conditionalFormatting sqref="L185">
    <cfRule type="containsText" dxfId="3" priority="307" operator="containsText" text="check">
      <formula>NOT(ISERROR(SEARCH("check",L185)))</formula>
    </cfRule>
    <cfRule type="containsText" dxfId="0" priority="308" operator="containsText" text="good">
      <formula>NOT(ISERROR(SEARCH("good",L185)))</formula>
    </cfRule>
  </conditionalFormatting>
  <conditionalFormatting sqref="L186">
    <cfRule type="containsText" dxfId="3" priority="313" operator="containsText" text="check">
      <formula>NOT(ISERROR(SEARCH("check",L186)))</formula>
    </cfRule>
    <cfRule type="containsText" dxfId="0" priority="314" operator="containsText" text="good">
      <formula>NOT(ISERROR(SEARCH("good",L186)))</formula>
    </cfRule>
  </conditionalFormatting>
  <conditionalFormatting sqref="L187">
    <cfRule type="containsText" dxfId="3" priority="319" operator="containsText" text="check">
      <formula>NOT(ISERROR(SEARCH("check",L187)))</formula>
    </cfRule>
    <cfRule type="containsText" dxfId="0" priority="320" operator="containsText" text="good">
      <formula>NOT(ISERROR(SEARCH("good",L187)))</formula>
    </cfRule>
  </conditionalFormatting>
  <conditionalFormatting sqref="L188">
    <cfRule type="containsText" dxfId="3" priority="325" operator="containsText" text="check">
      <formula>NOT(ISERROR(SEARCH("check",L188)))</formula>
    </cfRule>
    <cfRule type="containsText" dxfId="0" priority="326" operator="containsText" text="good">
      <formula>NOT(ISERROR(SEARCH("good",L188)))</formula>
    </cfRule>
  </conditionalFormatting>
  <conditionalFormatting sqref="L189">
    <cfRule type="containsText" dxfId="3" priority="331" operator="containsText" text="check">
      <formula>NOT(ISERROR(SEARCH("check",L189)))</formula>
    </cfRule>
    <cfRule type="containsText" dxfId="0" priority="332" operator="containsText" text="good">
      <formula>NOT(ISERROR(SEARCH("good",L189)))</formula>
    </cfRule>
  </conditionalFormatting>
  <conditionalFormatting sqref="L19">
    <cfRule type="containsText" dxfId="0" priority="20" operator="containsText" text="good">
      <formula>NOT(ISERROR(SEARCH("good",L19)))</formula>
    </cfRule>
  </conditionalFormatting>
  <conditionalFormatting sqref="L190">
    <cfRule type="containsText" dxfId="3" priority="337" operator="containsText" text="check">
      <formula>NOT(ISERROR(SEARCH("check",L190)))</formula>
    </cfRule>
    <cfRule type="containsText" dxfId="0" priority="338" operator="containsText" text="good">
      <formula>NOT(ISERROR(SEARCH("good",L190)))</formula>
    </cfRule>
  </conditionalFormatting>
  <conditionalFormatting sqref="L191">
    <cfRule type="containsText" dxfId="3" priority="343" operator="containsText" text="check">
      <formula>NOT(ISERROR(SEARCH("check",L191)))</formula>
    </cfRule>
    <cfRule type="containsText" dxfId="0" priority="344" operator="containsText" text="good">
      <formula>NOT(ISERROR(SEARCH("good",L191)))</formula>
    </cfRule>
  </conditionalFormatting>
  <conditionalFormatting sqref="L192">
    <cfRule type="containsText" dxfId="3" priority="349" operator="containsText" text="check">
      <formula>NOT(ISERROR(SEARCH("check",L192)))</formula>
    </cfRule>
    <cfRule type="containsText" dxfId="0" priority="350" operator="containsText" text="good">
      <formula>NOT(ISERROR(SEARCH("good",L192)))</formula>
    </cfRule>
  </conditionalFormatting>
  <conditionalFormatting sqref="L193">
    <cfRule type="containsText" dxfId="3" priority="355" operator="containsText" text="check">
      <formula>NOT(ISERROR(SEARCH("check",L193)))</formula>
    </cfRule>
    <cfRule type="containsText" dxfId="0" priority="356" operator="containsText" text="good">
      <formula>NOT(ISERROR(SEARCH("good",L193)))</formula>
    </cfRule>
  </conditionalFormatting>
  <conditionalFormatting sqref="L194">
    <cfRule type="containsText" dxfId="3" priority="361" operator="containsText" text="check">
      <formula>NOT(ISERROR(SEARCH("check",L194)))</formula>
    </cfRule>
    <cfRule type="containsText" dxfId="0" priority="362" operator="containsText" text="good">
      <formula>NOT(ISERROR(SEARCH("good",L194)))</formula>
    </cfRule>
  </conditionalFormatting>
  <conditionalFormatting sqref="L195">
    <cfRule type="containsText" dxfId="3" priority="367" operator="containsText" text="check">
      <formula>NOT(ISERROR(SEARCH("check",L195)))</formula>
    </cfRule>
    <cfRule type="containsText" dxfId="0" priority="368" operator="containsText" text="good">
      <formula>NOT(ISERROR(SEARCH("good",L195)))</formula>
    </cfRule>
  </conditionalFormatting>
  <conditionalFormatting sqref="L196">
    <cfRule type="containsText" dxfId="3" priority="373" operator="containsText" text="check">
      <formula>NOT(ISERROR(SEARCH("check",L196)))</formula>
    </cfRule>
    <cfRule type="containsText" dxfId="0" priority="374" operator="containsText" text="good">
      <formula>NOT(ISERROR(SEARCH("good",L196)))</formula>
    </cfRule>
  </conditionalFormatting>
  <conditionalFormatting sqref="L197">
    <cfRule type="containsText" dxfId="3" priority="379" operator="containsText" text="check">
      <formula>NOT(ISERROR(SEARCH("check",L197)))</formula>
    </cfRule>
    <cfRule type="containsText" dxfId="0" priority="380" operator="containsText" text="good">
      <formula>NOT(ISERROR(SEARCH("good",L197)))</formula>
    </cfRule>
  </conditionalFormatting>
  <conditionalFormatting sqref="L198">
    <cfRule type="containsText" dxfId="3" priority="385" operator="containsText" text="check">
      <formula>NOT(ISERROR(SEARCH("check",L198)))</formula>
    </cfRule>
    <cfRule type="containsText" dxfId="0" priority="386" operator="containsText" text="good">
      <formula>NOT(ISERROR(SEARCH("good",L198)))</formula>
    </cfRule>
  </conditionalFormatting>
  <conditionalFormatting sqref="L199">
    <cfRule type="containsText" dxfId="3" priority="391" operator="containsText" text="check">
      <formula>NOT(ISERROR(SEARCH("check",L199)))</formula>
    </cfRule>
    <cfRule type="containsText" dxfId="0" priority="392" operator="containsText" text="good">
      <formula>NOT(ISERROR(SEARCH("good",L199)))</formula>
    </cfRule>
  </conditionalFormatting>
  <conditionalFormatting sqref="L2">
    <cfRule type="containsText" dxfId="0" priority="1" operator="containsText" text="good">
      <formula>NOT(ISERROR(SEARCH("good",L2)))</formula>
    </cfRule>
  </conditionalFormatting>
  <conditionalFormatting sqref="L20">
    <cfRule type="containsText" dxfId="0" priority="21" operator="containsText" text="good">
      <formula>NOT(ISERROR(SEARCH("good",L20)))</formula>
    </cfRule>
  </conditionalFormatting>
  <conditionalFormatting sqref="L200">
    <cfRule type="containsText" dxfId="3" priority="397" operator="containsText" text="check">
      <formula>NOT(ISERROR(SEARCH("check",L200)))</formula>
    </cfRule>
    <cfRule type="containsText" dxfId="0" priority="398" operator="containsText" text="good">
      <formula>NOT(ISERROR(SEARCH("good",L200)))</formula>
    </cfRule>
  </conditionalFormatting>
  <conditionalFormatting sqref="L201">
    <cfRule type="containsText" dxfId="3" priority="403" operator="containsText" text="check">
      <formula>NOT(ISERROR(SEARCH("check",L201)))</formula>
    </cfRule>
    <cfRule type="containsText" dxfId="0" priority="404" operator="containsText" text="good">
      <formula>NOT(ISERROR(SEARCH("good",L201)))</formula>
    </cfRule>
  </conditionalFormatting>
  <conditionalFormatting sqref="L202">
    <cfRule type="containsText" dxfId="3" priority="409" operator="containsText" text="check">
      <formula>NOT(ISERROR(SEARCH("check",L202)))</formula>
    </cfRule>
    <cfRule type="containsText" dxfId="0" priority="410" operator="containsText" text="good">
      <formula>NOT(ISERROR(SEARCH("good",L202)))</formula>
    </cfRule>
  </conditionalFormatting>
  <conditionalFormatting sqref="L203">
    <cfRule type="containsText" dxfId="3" priority="415" operator="containsText" text="check">
      <formula>NOT(ISERROR(SEARCH("check",L203)))</formula>
    </cfRule>
    <cfRule type="containsText" dxfId="0" priority="416" operator="containsText" text="good">
      <formula>NOT(ISERROR(SEARCH("good",L203)))</formula>
    </cfRule>
  </conditionalFormatting>
  <conditionalFormatting sqref="L204">
    <cfRule type="containsText" dxfId="3" priority="421" operator="containsText" text="check">
      <formula>NOT(ISERROR(SEARCH("check",L204)))</formula>
    </cfRule>
    <cfRule type="containsText" dxfId="0" priority="422" operator="containsText" text="good">
      <formula>NOT(ISERROR(SEARCH("good",L204)))</formula>
    </cfRule>
  </conditionalFormatting>
  <conditionalFormatting sqref="L205">
    <cfRule type="containsText" dxfId="3" priority="427" operator="containsText" text="check">
      <formula>NOT(ISERROR(SEARCH("check",L205)))</formula>
    </cfRule>
    <cfRule type="containsText" dxfId="0" priority="428" operator="containsText" text="good">
      <formula>NOT(ISERROR(SEARCH("good",L205)))</formula>
    </cfRule>
  </conditionalFormatting>
  <conditionalFormatting sqref="L206">
    <cfRule type="containsText" dxfId="3" priority="433" operator="containsText" text="check">
      <formula>NOT(ISERROR(SEARCH("check",L206)))</formula>
    </cfRule>
    <cfRule type="containsText" dxfId="0" priority="434" operator="containsText" text="good">
      <formula>NOT(ISERROR(SEARCH("good",L206)))</formula>
    </cfRule>
  </conditionalFormatting>
  <conditionalFormatting sqref="L207">
    <cfRule type="containsText" dxfId="3" priority="439" operator="containsText" text="check">
      <formula>NOT(ISERROR(SEARCH("check",L207)))</formula>
    </cfRule>
    <cfRule type="containsText" dxfId="0" priority="440" operator="containsText" text="good">
      <formula>NOT(ISERROR(SEARCH("good",L207)))</formula>
    </cfRule>
  </conditionalFormatting>
  <conditionalFormatting sqref="L208">
    <cfRule type="containsText" dxfId="3" priority="445" operator="containsText" text="check">
      <formula>NOT(ISERROR(SEARCH("check",L208)))</formula>
    </cfRule>
    <cfRule type="containsText" dxfId="0" priority="446" operator="containsText" text="good">
      <formula>NOT(ISERROR(SEARCH("good",L208)))</formula>
    </cfRule>
  </conditionalFormatting>
  <conditionalFormatting sqref="L209">
    <cfRule type="containsText" dxfId="3" priority="451" operator="containsText" text="check">
      <formula>NOT(ISERROR(SEARCH("check",L209)))</formula>
    </cfRule>
    <cfRule type="containsText" dxfId="0" priority="452" operator="containsText" text="good">
      <formula>NOT(ISERROR(SEARCH("good",L209)))</formula>
    </cfRule>
  </conditionalFormatting>
  <conditionalFormatting sqref="L21">
    <cfRule type="containsText" dxfId="0" priority="22" operator="containsText" text="good">
      <formula>NOT(ISERROR(SEARCH("good",L21)))</formula>
    </cfRule>
  </conditionalFormatting>
  <conditionalFormatting sqref="L210">
    <cfRule type="containsText" dxfId="3" priority="457" operator="containsText" text="check">
      <formula>NOT(ISERROR(SEARCH("check",L210)))</formula>
    </cfRule>
    <cfRule type="containsText" dxfId="0" priority="458" operator="containsText" text="good">
      <formula>NOT(ISERROR(SEARCH("good",L210)))</formula>
    </cfRule>
  </conditionalFormatting>
  <conditionalFormatting sqref="L211">
    <cfRule type="containsText" dxfId="3" priority="463" operator="containsText" text="check">
      <formula>NOT(ISERROR(SEARCH("check",L211)))</formula>
    </cfRule>
    <cfRule type="containsText" dxfId="0" priority="464" operator="containsText" text="good">
      <formula>NOT(ISERROR(SEARCH("good",L211)))</formula>
    </cfRule>
  </conditionalFormatting>
  <conditionalFormatting sqref="L212">
    <cfRule type="containsText" dxfId="3" priority="469" operator="containsText" text="check">
      <formula>NOT(ISERROR(SEARCH("check",L212)))</formula>
    </cfRule>
    <cfRule type="containsText" dxfId="0" priority="470" operator="containsText" text="good">
      <formula>NOT(ISERROR(SEARCH("good",L212)))</formula>
    </cfRule>
  </conditionalFormatting>
  <conditionalFormatting sqref="L213">
    <cfRule type="containsText" dxfId="3" priority="475" operator="containsText" text="check">
      <formula>NOT(ISERROR(SEARCH("check",L213)))</formula>
    </cfRule>
    <cfRule type="containsText" dxfId="0" priority="476" operator="containsText" text="good">
      <formula>NOT(ISERROR(SEARCH("good",L213)))</formula>
    </cfRule>
  </conditionalFormatting>
  <conditionalFormatting sqref="L214">
    <cfRule type="containsText" dxfId="3" priority="481" operator="containsText" text="check">
      <formula>NOT(ISERROR(SEARCH("check",L214)))</formula>
    </cfRule>
    <cfRule type="containsText" dxfId="0" priority="482" operator="containsText" text="good">
      <formula>NOT(ISERROR(SEARCH("good",L214)))</formula>
    </cfRule>
  </conditionalFormatting>
  <conditionalFormatting sqref="L215">
    <cfRule type="containsText" dxfId="3" priority="487" operator="containsText" text="check">
      <formula>NOT(ISERROR(SEARCH("check",L215)))</formula>
    </cfRule>
    <cfRule type="containsText" dxfId="0" priority="488" operator="containsText" text="good">
      <formula>NOT(ISERROR(SEARCH("good",L215)))</formula>
    </cfRule>
  </conditionalFormatting>
  <conditionalFormatting sqref="L216">
    <cfRule type="containsText" dxfId="3" priority="493" operator="containsText" text="check">
      <formula>NOT(ISERROR(SEARCH("check",L216)))</formula>
    </cfRule>
    <cfRule type="containsText" dxfId="0" priority="494" operator="containsText" text="good">
      <formula>NOT(ISERROR(SEARCH("good",L216)))</formula>
    </cfRule>
  </conditionalFormatting>
  <conditionalFormatting sqref="L217">
    <cfRule type="containsText" dxfId="3" priority="499" operator="containsText" text="check">
      <formula>NOT(ISERROR(SEARCH("check",L217)))</formula>
    </cfRule>
    <cfRule type="containsText" dxfId="0" priority="500" operator="containsText" text="good">
      <formula>NOT(ISERROR(SEARCH("good",L217)))</formula>
    </cfRule>
  </conditionalFormatting>
  <conditionalFormatting sqref="L218">
    <cfRule type="containsText" dxfId="3" priority="505" operator="containsText" text="check">
      <formula>NOT(ISERROR(SEARCH("check",L218)))</formula>
    </cfRule>
    <cfRule type="containsText" dxfId="0" priority="506" operator="containsText" text="good">
      <formula>NOT(ISERROR(SEARCH("good",L218)))</formula>
    </cfRule>
  </conditionalFormatting>
  <conditionalFormatting sqref="L219">
    <cfRule type="containsText" dxfId="3" priority="511" operator="containsText" text="check">
      <formula>NOT(ISERROR(SEARCH("check",L219)))</formula>
    </cfRule>
    <cfRule type="containsText" dxfId="0" priority="512" operator="containsText" text="good">
      <formula>NOT(ISERROR(SEARCH("good",L219)))</formula>
    </cfRule>
  </conditionalFormatting>
  <conditionalFormatting sqref="L22">
    <cfRule type="containsText" dxfId="0" priority="23" operator="containsText" text="good">
      <formula>NOT(ISERROR(SEARCH("good",L22)))</formula>
    </cfRule>
  </conditionalFormatting>
  <conditionalFormatting sqref="L220">
    <cfRule type="containsText" dxfId="3" priority="517" operator="containsText" text="check">
      <formula>NOT(ISERROR(SEARCH("check",L220)))</formula>
    </cfRule>
    <cfRule type="containsText" dxfId="0" priority="518" operator="containsText" text="good">
      <formula>NOT(ISERROR(SEARCH("good",L220)))</formula>
    </cfRule>
  </conditionalFormatting>
  <conditionalFormatting sqref="L221">
    <cfRule type="containsText" dxfId="3" priority="523" operator="containsText" text="check">
      <formula>NOT(ISERROR(SEARCH("check",L221)))</formula>
    </cfRule>
    <cfRule type="containsText" dxfId="0" priority="524" operator="containsText" text="good">
      <formula>NOT(ISERROR(SEARCH("good",L221)))</formula>
    </cfRule>
  </conditionalFormatting>
  <conditionalFormatting sqref="L222">
    <cfRule type="containsText" dxfId="3" priority="529" operator="containsText" text="check">
      <formula>NOT(ISERROR(SEARCH("check",L222)))</formula>
    </cfRule>
    <cfRule type="containsText" dxfId="0" priority="530" operator="containsText" text="good">
      <formula>NOT(ISERROR(SEARCH("good",L222)))</formula>
    </cfRule>
  </conditionalFormatting>
  <conditionalFormatting sqref="L223">
    <cfRule type="containsText" dxfId="3" priority="535" operator="containsText" text="check">
      <formula>NOT(ISERROR(SEARCH("check",L223)))</formula>
    </cfRule>
    <cfRule type="containsText" dxfId="0" priority="536" operator="containsText" text="good">
      <formula>NOT(ISERROR(SEARCH("good",L223)))</formula>
    </cfRule>
  </conditionalFormatting>
  <conditionalFormatting sqref="L224">
    <cfRule type="containsText" dxfId="3" priority="541" operator="containsText" text="check">
      <formula>NOT(ISERROR(SEARCH("check",L224)))</formula>
    </cfRule>
    <cfRule type="containsText" dxfId="0" priority="542" operator="containsText" text="good">
      <formula>NOT(ISERROR(SEARCH("good",L224)))</formula>
    </cfRule>
  </conditionalFormatting>
  <conditionalFormatting sqref="L225">
    <cfRule type="containsText" dxfId="3" priority="547" operator="containsText" text="check">
      <formula>NOT(ISERROR(SEARCH("check",L225)))</formula>
    </cfRule>
    <cfRule type="containsText" dxfId="0" priority="548" operator="containsText" text="good">
      <formula>NOT(ISERROR(SEARCH("good",L225)))</formula>
    </cfRule>
  </conditionalFormatting>
  <conditionalFormatting sqref="L226">
    <cfRule type="containsText" dxfId="3" priority="553" operator="containsText" text="check">
      <formula>NOT(ISERROR(SEARCH("check",L226)))</formula>
    </cfRule>
    <cfRule type="containsText" dxfId="0" priority="554" operator="containsText" text="good">
      <formula>NOT(ISERROR(SEARCH("good",L226)))</formula>
    </cfRule>
  </conditionalFormatting>
  <conditionalFormatting sqref="L227">
    <cfRule type="containsText" dxfId="3" priority="559" operator="containsText" text="check">
      <formula>NOT(ISERROR(SEARCH("check",L227)))</formula>
    </cfRule>
    <cfRule type="containsText" dxfId="0" priority="560" operator="containsText" text="good">
      <formula>NOT(ISERROR(SEARCH("good",L227)))</formula>
    </cfRule>
  </conditionalFormatting>
  <conditionalFormatting sqref="L228">
    <cfRule type="containsText" dxfId="3" priority="565" operator="containsText" text="check">
      <formula>NOT(ISERROR(SEARCH("check",L228)))</formula>
    </cfRule>
    <cfRule type="containsText" dxfId="0" priority="566" operator="containsText" text="good">
      <formula>NOT(ISERROR(SEARCH("good",L228)))</formula>
    </cfRule>
  </conditionalFormatting>
  <conditionalFormatting sqref="L229">
    <cfRule type="containsText" dxfId="3" priority="571" operator="containsText" text="check">
      <formula>NOT(ISERROR(SEARCH("check",L229)))</formula>
    </cfRule>
    <cfRule type="containsText" dxfId="0" priority="572" operator="containsText" text="good">
      <formula>NOT(ISERROR(SEARCH("good",L229)))</formula>
    </cfRule>
  </conditionalFormatting>
  <conditionalFormatting sqref="L23">
    <cfRule type="containsText" dxfId="0" priority="24" operator="containsText" text="good">
      <formula>NOT(ISERROR(SEARCH("good",L23)))</formula>
    </cfRule>
  </conditionalFormatting>
  <conditionalFormatting sqref="L230">
    <cfRule type="containsText" dxfId="3" priority="577" operator="containsText" text="check">
      <formula>NOT(ISERROR(SEARCH("check",L230)))</formula>
    </cfRule>
    <cfRule type="containsText" dxfId="0" priority="578" operator="containsText" text="good">
      <formula>NOT(ISERROR(SEARCH("good",L230)))</formula>
    </cfRule>
  </conditionalFormatting>
  <conditionalFormatting sqref="L231">
    <cfRule type="containsText" dxfId="3" priority="583" operator="containsText" text="check">
      <formula>NOT(ISERROR(SEARCH("check",L231)))</formula>
    </cfRule>
    <cfRule type="containsText" dxfId="0" priority="584" operator="containsText" text="good">
      <formula>NOT(ISERROR(SEARCH("good",L231)))</formula>
    </cfRule>
  </conditionalFormatting>
  <conditionalFormatting sqref="L232">
    <cfRule type="containsText" dxfId="3" priority="589" operator="containsText" text="check">
      <formula>NOT(ISERROR(SEARCH("check",L232)))</formula>
    </cfRule>
    <cfRule type="containsText" dxfId="0" priority="590" operator="containsText" text="good">
      <formula>NOT(ISERROR(SEARCH("good",L232)))</formula>
    </cfRule>
  </conditionalFormatting>
  <conditionalFormatting sqref="L233">
    <cfRule type="containsText" dxfId="3" priority="595" operator="containsText" text="check">
      <formula>NOT(ISERROR(SEARCH("check",L233)))</formula>
    </cfRule>
    <cfRule type="containsText" dxfId="0" priority="596" operator="containsText" text="good">
      <formula>NOT(ISERROR(SEARCH("good",L233)))</formula>
    </cfRule>
  </conditionalFormatting>
  <conditionalFormatting sqref="L24">
    <cfRule type="containsText" dxfId="0" priority="25" operator="containsText" text="good">
      <formula>NOT(ISERROR(SEARCH("good",L24)))</formula>
    </cfRule>
  </conditionalFormatting>
  <conditionalFormatting sqref="L25">
    <cfRule type="containsText" dxfId="0" priority="26" operator="containsText" text="good">
      <formula>NOT(ISERROR(SEARCH("good",L25)))</formula>
    </cfRule>
  </conditionalFormatting>
  <conditionalFormatting sqref="L26">
    <cfRule type="containsText" dxfId="0" priority="27" operator="containsText" text="good">
      <formula>NOT(ISERROR(SEARCH("good",L26)))</formula>
    </cfRule>
  </conditionalFormatting>
  <conditionalFormatting sqref="L27">
    <cfRule type="containsText" dxfId="0" priority="28" operator="containsText" text="good">
      <formula>NOT(ISERROR(SEARCH("good",L27)))</formula>
    </cfRule>
  </conditionalFormatting>
  <conditionalFormatting sqref="L28">
    <cfRule type="containsText" dxfId="0" priority="29" operator="containsText" text="good">
      <formula>NOT(ISERROR(SEARCH("good",L28)))</formula>
    </cfRule>
  </conditionalFormatting>
  <conditionalFormatting sqref="L29">
    <cfRule type="containsText" dxfId="0" priority="30" operator="containsText" text="good">
      <formula>NOT(ISERROR(SEARCH("good",L29)))</formula>
    </cfRule>
  </conditionalFormatting>
  <conditionalFormatting sqref="L3">
    <cfRule type="containsText" dxfId="0" priority="3" operator="containsText" text="good">
      <formula>NOT(ISERROR(SEARCH("good",L3)))</formula>
    </cfRule>
  </conditionalFormatting>
  <conditionalFormatting sqref="L30">
    <cfRule type="containsText" dxfId="0" priority="31" operator="containsText" text="good">
      <formula>NOT(ISERROR(SEARCH("good",L30)))</formula>
    </cfRule>
  </conditionalFormatting>
  <conditionalFormatting sqref="L31">
    <cfRule type="containsText" dxfId="0" priority="32" operator="containsText" text="good">
      <formula>NOT(ISERROR(SEARCH("good",L31)))</formula>
    </cfRule>
  </conditionalFormatting>
  <conditionalFormatting sqref="L32">
    <cfRule type="containsText" dxfId="0" priority="33" operator="containsText" text="good">
      <formula>NOT(ISERROR(SEARCH("good",L32)))</formula>
    </cfRule>
  </conditionalFormatting>
  <conditionalFormatting sqref="L33">
    <cfRule type="containsText" dxfId="0" priority="34" operator="containsText" text="good">
      <formula>NOT(ISERROR(SEARCH("good",L33)))</formula>
    </cfRule>
  </conditionalFormatting>
  <conditionalFormatting sqref="L34">
    <cfRule type="containsText" dxfId="0" priority="35" operator="containsText" text="good">
      <formula>NOT(ISERROR(SEARCH("good",L34)))</formula>
    </cfRule>
  </conditionalFormatting>
  <conditionalFormatting sqref="L35">
    <cfRule type="containsText" dxfId="0" priority="36" operator="containsText" text="good">
      <formula>NOT(ISERROR(SEARCH("good",L35)))</formula>
    </cfRule>
  </conditionalFormatting>
  <conditionalFormatting sqref="L36">
    <cfRule type="containsText" dxfId="0" priority="38" operator="containsText" text="good">
      <formula>NOT(ISERROR(SEARCH("good",L36)))</formula>
    </cfRule>
  </conditionalFormatting>
  <conditionalFormatting sqref="L37">
    <cfRule type="containsText" dxfId="0" priority="39" operator="containsText" text="good">
      <formula>NOT(ISERROR(SEARCH("good",L37)))</formula>
    </cfRule>
  </conditionalFormatting>
  <conditionalFormatting sqref="L38">
    <cfRule type="containsText" dxfId="0" priority="41" operator="containsText" text="good">
      <formula>NOT(ISERROR(SEARCH("good",L38)))</formula>
    </cfRule>
  </conditionalFormatting>
  <conditionalFormatting sqref="L39">
    <cfRule type="containsText" dxfId="0" priority="43" operator="containsText" text="good">
      <formula>NOT(ISERROR(SEARCH("good",L39)))</formula>
    </cfRule>
  </conditionalFormatting>
  <conditionalFormatting sqref="L4">
    <cfRule type="containsText" dxfId="0" priority="4" operator="containsText" text="good">
      <formula>NOT(ISERROR(SEARCH("good",L4)))</formula>
    </cfRule>
  </conditionalFormatting>
  <conditionalFormatting sqref="L40">
    <cfRule type="containsText" dxfId="0" priority="44" operator="containsText" text="good">
      <formula>NOT(ISERROR(SEARCH("good",L40)))</formula>
    </cfRule>
  </conditionalFormatting>
  <conditionalFormatting sqref="L41">
    <cfRule type="containsText" dxfId="0" priority="45" operator="containsText" text="good">
      <formula>NOT(ISERROR(SEARCH("good",L41)))</formula>
    </cfRule>
  </conditionalFormatting>
  <conditionalFormatting sqref="L42">
    <cfRule type="containsText" dxfId="0" priority="47" operator="containsText" text="good">
      <formula>NOT(ISERROR(SEARCH("good",L42)))</formula>
    </cfRule>
  </conditionalFormatting>
  <conditionalFormatting sqref="L43">
    <cfRule type="containsText" dxfId="0" priority="48" operator="containsText" text="good">
      <formula>NOT(ISERROR(SEARCH("good",L43)))</formula>
    </cfRule>
  </conditionalFormatting>
  <conditionalFormatting sqref="L44">
    <cfRule type="containsText" dxfId="0" priority="49" operator="containsText" text="good">
      <formula>NOT(ISERROR(SEARCH("good",L44)))</formula>
    </cfRule>
  </conditionalFormatting>
  <conditionalFormatting sqref="L45">
    <cfRule type="containsText" dxfId="0" priority="50" operator="containsText" text="good">
      <formula>NOT(ISERROR(SEARCH("good",L45)))</formula>
    </cfRule>
  </conditionalFormatting>
  <conditionalFormatting sqref="L46">
    <cfRule type="containsText" dxfId="0" priority="52" operator="containsText" text="good">
      <formula>NOT(ISERROR(SEARCH("good",L46)))</formula>
    </cfRule>
  </conditionalFormatting>
  <conditionalFormatting sqref="L47">
    <cfRule type="containsText" dxfId="0" priority="53" operator="containsText" text="good">
      <formula>NOT(ISERROR(SEARCH("good",L47)))</formula>
    </cfRule>
  </conditionalFormatting>
  <conditionalFormatting sqref="L48">
    <cfRule type="containsText" dxfId="0" priority="55" operator="containsText" text="good">
      <formula>NOT(ISERROR(SEARCH("good",L48)))</formula>
    </cfRule>
  </conditionalFormatting>
  <conditionalFormatting sqref="L49">
    <cfRule type="containsText" dxfId="0" priority="56" operator="containsText" text="good">
      <formula>NOT(ISERROR(SEARCH("good",L49)))</formula>
    </cfRule>
  </conditionalFormatting>
  <conditionalFormatting sqref="L5">
    <cfRule type="containsText" dxfId="0" priority="6" operator="containsText" text="good">
      <formula>NOT(ISERROR(SEARCH("good",L5)))</formula>
    </cfRule>
  </conditionalFormatting>
  <conditionalFormatting sqref="L50">
    <cfRule type="containsText" dxfId="0" priority="58" operator="containsText" text="good">
      <formula>NOT(ISERROR(SEARCH("good",L50)))</formula>
    </cfRule>
  </conditionalFormatting>
  <conditionalFormatting sqref="L51">
    <cfRule type="containsText" dxfId="0" priority="59" operator="containsText" text="good">
      <formula>NOT(ISERROR(SEARCH("good",L51)))</formula>
    </cfRule>
  </conditionalFormatting>
  <conditionalFormatting sqref="L52">
    <cfRule type="containsText" dxfId="0" priority="61" operator="containsText" text="good">
      <formula>NOT(ISERROR(SEARCH("good",L52)))</formula>
    </cfRule>
  </conditionalFormatting>
  <conditionalFormatting sqref="L53">
    <cfRule type="containsText" dxfId="0" priority="63" operator="containsText" text="good">
      <formula>NOT(ISERROR(SEARCH("good",L53)))</formula>
    </cfRule>
  </conditionalFormatting>
  <conditionalFormatting sqref="L54">
    <cfRule type="containsText" dxfId="0" priority="64" operator="containsText" text="good">
      <formula>NOT(ISERROR(SEARCH("good",L54)))</formula>
    </cfRule>
  </conditionalFormatting>
  <conditionalFormatting sqref="L55">
    <cfRule type="containsText" dxfId="0" priority="66" operator="containsText" text="good">
      <formula>NOT(ISERROR(SEARCH("good",L55)))</formula>
    </cfRule>
  </conditionalFormatting>
  <conditionalFormatting sqref="L56">
    <cfRule type="containsText" dxfId="0" priority="67" operator="containsText" text="good">
      <formula>NOT(ISERROR(SEARCH("good",L56)))</formula>
    </cfRule>
  </conditionalFormatting>
  <conditionalFormatting sqref="L57">
    <cfRule type="containsText" dxfId="0" priority="68" operator="containsText" text="good">
      <formula>NOT(ISERROR(SEARCH("good",L57)))</formula>
    </cfRule>
  </conditionalFormatting>
  <conditionalFormatting sqref="L58">
    <cfRule type="containsText" dxfId="0" priority="69" operator="containsText" text="good">
      <formula>NOT(ISERROR(SEARCH("good",L58)))</formula>
    </cfRule>
  </conditionalFormatting>
  <conditionalFormatting sqref="L59">
    <cfRule type="containsText" dxfId="0" priority="71" operator="containsText" text="good">
      <formula>NOT(ISERROR(SEARCH("good",L59)))</formula>
    </cfRule>
  </conditionalFormatting>
  <conditionalFormatting sqref="L6">
    <cfRule type="containsText" dxfId="0" priority="7" operator="containsText" text="good">
      <formula>NOT(ISERROR(SEARCH("good",L6)))</formula>
    </cfRule>
  </conditionalFormatting>
  <conditionalFormatting sqref="L60">
    <cfRule type="containsText" dxfId="0" priority="72" operator="containsText" text="good">
      <formula>NOT(ISERROR(SEARCH("good",L60)))</formula>
    </cfRule>
  </conditionalFormatting>
  <conditionalFormatting sqref="L61">
    <cfRule type="containsText" dxfId="0" priority="74" operator="containsText" text="good">
      <formula>NOT(ISERROR(SEARCH("good",L61)))</formula>
    </cfRule>
  </conditionalFormatting>
  <conditionalFormatting sqref="L62">
    <cfRule type="containsText" dxfId="0" priority="75" operator="containsText" text="good">
      <formula>NOT(ISERROR(SEARCH("good",L62)))</formula>
    </cfRule>
  </conditionalFormatting>
  <conditionalFormatting sqref="L63">
    <cfRule type="containsText" dxfId="0" priority="77" operator="containsText" text="good">
      <formula>NOT(ISERROR(SEARCH("good",L63)))</formula>
    </cfRule>
  </conditionalFormatting>
  <conditionalFormatting sqref="L64">
    <cfRule type="containsText" dxfId="0" priority="78" operator="containsText" text="good">
      <formula>NOT(ISERROR(SEARCH("good",L64)))</formula>
    </cfRule>
  </conditionalFormatting>
  <conditionalFormatting sqref="L65">
    <cfRule type="containsText" dxfId="0" priority="79" operator="containsText" text="good">
      <formula>NOT(ISERROR(SEARCH("good",L65)))</formula>
    </cfRule>
  </conditionalFormatting>
  <conditionalFormatting sqref="L66">
    <cfRule type="containsText" dxfId="0" priority="81" operator="containsText" text="good">
      <formula>NOT(ISERROR(SEARCH("good",L66)))</formula>
    </cfRule>
  </conditionalFormatting>
  <conditionalFormatting sqref="L67">
    <cfRule type="containsText" dxfId="0" priority="82" operator="containsText" text="good">
      <formula>NOT(ISERROR(SEARCH("good",L67)))</formula>
    </cfRule>
  </conditionalFormatting>
  <conditionalFormatting sqref="L68">
    <cfRule type="containsText" dxfId="0" priority="83" operator="containsText" text="good">
      <formula>NOT(ISERROR(SEARCH("good",L68)))</formula>
    </cfRule>
  </conditionalFormatting>
  <conditionalFormatting sqref="L69">
    <cfRule type="containsText" dxfId="0" priority="85" operator="containsText" text="good">
      <formula>NOT(ISERROR(SEARCH("good",L69)))</formula>
    </cfRule>
  </conditionalFormatting>
  <conditionalFormatting sqref="L7">
    <cfRule type="containsText" dxfId="0" priority="8" operator="containsText" text="good">
      <formula>NOT(ISERROR(SEARCH("good",L7)))</formula>
    </cfRule>
  </conditionalFormatting>
  <conditionalFormatting sqref="L70">
    <cfRule type="containsText" dxfId="0" priority="86" operator="containsText" text="good">
      <formula>NOT(ISERROR(SEARCH("good",L70)))</formula>
    </cfRule>
  </conditionalFormatting>
  <conditionalFormatting sqref="L71">
    <cfRule type="containsText" dxfId="0" priority="87" operator="containsText" text="good">
      <formula>NOT(ISERROR(SEARCH("good",L71)))</formula>
    </cfRule>
  </conditionalFormatting>
  <conditionalFormatting sqref="L72">
    <cfRule type="containsText" dxfId="0" priority="88" operator="containsText" text="good">
      <formula>NOT(ISERROR(SEARCH("good",L72)))</formula>
    </cfRule>
  </conditionalFormatting>
  <conditionalFormatting sqref="L73">
    <cfRule type="containsText" dxfId="0" priority="89" operator="containsText" text="good">
      <formula>NOT(ISERROR(SEARCH("good",L73)))</formula>
    </cfRule>
  </conditionalFormatting>
  <conditionalFormatting sqref="L74">
    <cfRule type="containsText" dxfId="0" priority="90" operator="containsText" text="good">
      <formula>NOT(ISERROR(SEARCH("good",L74)))</formula>
    </cfRule>
  </conditionalFormatting>
  <conditionalFormatting sqref="L75">
    <cfRule type="containsText" dxfId="0" priority="91" operator="containsText" text="good">
      <formula>NOT(ISERROR(SEARCH("good",L75)))</formula>
    </cfRule>
  </conditionalFormatting>
  <conditionalFormatting sqref="L76">
    <cfRule type="containsText" dxfId="0" priority="93" operator="containsText" text="good">
      <formula>NOT(ISERROR(SEARCH("good",L76)))</formula>
    </cfRule>
  </conditionalFormatting>
  <conditionalFormatting sqref="L77">
    <cfRule type="containsText" dxfId="0" priority="94" operator="containsText" text="good">
      <formula>NOT(ISERROR(SEARCH("good",L77)))</formula>
    </cfRule>
  </conditionalFormatting>
  <conditionalFormatting sqref="L78">
    <cfRule type="containsText" dxfId="0" priority="95" operator="containsText" text="good">
      <formula>NOT(ISERROR(SEARCH("good",L78)))</formula>
    </cfRule>
  </conditionalFormatting>
  <conditionalFormatting sqref="L79">
    <cfRule type="containsText" dxfId="0" priority="96" operator="containsText" text="good">
      <formula>NOT(ISERROR(SEARCH("good",L79)))</formula>
    </cfRule>
  </conditionalFormatting>
  <conditionalFormatting sqref="L8">
    <cfRule type="containsText" dxfId="0" priority="9" operator="containsText" text="good">
      <formula>NOT(ISERROR(SEARCH("good",L8)))</formula>
    </cfRule>
  </conditionalFormatting>
  <conditionalFormatting sqref="L80">
    <cfRule type="containsText" dxfId="0" priority="97" operator="containsText" text="good">
      <formula>NOT(ISERROR(SEARCH("good",L80)))</formula>
    </cfRule>
  </conditionalFormatting>
  <conditionalFormatting sqref="L81">
    <cfRule type="containsText" dxfId="0" priority="98" operator="containsText" text="good">
      <formula>NOT(ISERROR(SEARCH("good",L81)))</formula>
    </cfRule>
  </conditionalFormatting>
  <conditionalFormatting sqref="L82">
    <cfRule type="containsText" dxfId="0" priority="99" operator="containsText" text="good">
      <formula>NOT(ISERROR(SEARCH("good",L82)))</formula>
    </cfRule>
  </conditionalFormatting>
  <conditionalFormatting sqref="L83">
    <cfRule type="containsText" dxfId="0" priority="100" operator="containsText" text="good">
      <formula>NOT(ISERROR(SEARCH("good",L83)))</formula>
    </cfRule>
  </conditionalFormatting>
  <conditionalFormatting sqref="L84">
    <cfRule type="containsText" dxfId="0" priority="101" operator="containsText" text="good">
      <formula>NOT(ISERROR(SEARCH("good",L84)))</formula>
    </cfRule>
  </conditionalFormatting>
  <conditionalFormatting sqref="L85">
    <cfRule type="containsText" dxfId="0" priority="102" operator="containsText" text="good">
      <formula>NOT(ISERROR(SEARCH("good",L85)))</formula>
    </cfRule>
  </conditionalFormatting>
  <conditionalFormatting sqref="L86">
    <cfRule type="containsText" dxfId="0" priority="103" operator="containsText" text="good">
      <formula>NOT(ISERROR(SEARCH("good",L86)))</formula>
    </cfRule>
  </conditionalFormatting>
  <conditionalFormatting sqref="L87">
    <cfRule type="containsText" dxfId="0" priority="104" operator="containsText" text="good">
      <formula>NOT(ISERROR(SEARCH("good",L87)))</formula>
    </cfRule>
  </conditionalFormatting>
  <conditionalFormatting sqref="L88">
    <cfRule type="containsText" dxfId="0" priority="105" operator="containsText" text="good">
      <formula>NOT(ISERROR(SEARCH("good",L88)))</formula>
    </cfRule>
  </conditionalFormatting>
  <conditionalFormatting sqref="L89">
    <cfRule type="containsText" dxfId="0" priority="106" operator="containsText" text="good">
      <formula>NOT(ISERROR(SEARCH("good",L89)))</formula>
    </cfRule>
  </conditionalFormatting>
  <conditionalFormatting sqref="L9">
    <cfRule type="containsText" dxfId="0" priority="10" operator="containsText" text="good">
      <formula>NOT(ISERROR(SEARCH("good",L9)))</formula>
    </cfRule>
  </conditionalFormatting>
  <conditionalFormatting sqref="L90">
    <cfRule type="containsText" dxfId="0" priority="107" operator="containsText" text="good">
      <formula>NOT(ISERROR(SEARCH("good",L90)))</formula>
    </cfRule>
  </conditionalFormatting>
  <conditionalFormatting sqref="L91">
    <cfRule type="containsText" dxfId="0" priority="108" operator="containsText" text="good">
      <formula>NOT(ISERROR(SEARCH("good",L91)))</formula>
    </cfRule>
  </conditionalFormatting>
  <conditionalFormatting sqref="L92">
    <cfRule type="containsText" dxfId="0" priority="109" operator="containsText" text="good">
      <formula>NOT(ISERROR(SEARCH("good",L92)))</formula>
    </cfRule>
  </conditionalFormatting>
  <conditionalFormatting sqref="L93">
    <cfRule type="containsText" dxfId="0" priority="110" operator="containsText" text="good">
      <formula>NOT(ISERROR(SEARCH("good",L93)))</formula>
    </cfRule>
  </conditionalFormatting>
  <conditionalFormatting sqref="L94">
    <cfRule type="containsText" dxfId="0" priority="111" operator="containsText" text="good">
      <formula>NOT(ISERROR(SEARCH("good",L94)))</formula>
    </cfRule>
  </conditionalFormatting>
  <conditionalFormatting sqref="L95">
    <cfRule type="containsText" dxfId="0" priority="112" operator="containsText" text="good">
      <formula>NOT(ISERROR(SEARCH("good",L95)))</formula>
    </cfRule>
  </conditionalFormatting>
  <conditionalFormatting sqref="L96">
    <cfRule type="containsText" dxfId="0" priority="113" operator="containsText" text="good">
      <formula>NOT(ISERROR(SEARCH("good",L96)))</formula>
    </cfRule>
  </conditionalFormatting>
  <conditionalFormatting sqref="L97">
    <cfRule type="containsText" dxfId="0" priority="114" operator="containsText" text="good">
      <formula>NOT(ISERROR(SEARCH("good",L97)))</formula>
    </cfRule>
  </conditionalFormatting>
  <conditionalFormatting sqref="L98">
    <cfRule type="containsText" dxfId="0" priority="115" operator="containsText" text="good">
      <formula>NOT(ISERROR(SEARCH("good",L98)))</formula>
    </cfRule>
  </conditionalFormatting>
  <conditionalFormatting sqref="L99">
    <cfRule type="containsText" dxfId="0" priority="116" operator="containsText" text="good">
      <formula>NOT(ISERROR(SEARCH("good",L99)))</formula>
    </cfRule>
  </conditionalFormatting>
  <dataValidations count="930">
    <dataValidation type="custom" allowBlank="1" showInputMessage="1" showErrorMessage="1" errorTitle="Warning" error="Reference does not exist or Duplicates!" sqref="Q7">
      <formula1>AND(COUNTIF($Q$7:$Q$8,Q7)=1, COUNTIF($U$1:$U$116,Q7)=1)</formula1>
    </dataValidation>
    <dataValidation type="custom" allowBlank="1" showInputMessage="1" showErrorMessage="1" errorTitle="Warning" error="Reference does not exist or Duplicates!" sqref="Q8">
      <formula1>AND(COUNTIF($Q$7:$Q$8,Q8)=1, COUNTIF($U$1:$U$116,Q8)=1)</formula1>
    </dataValidation>
    <dataValidation type="whole" allowBlank="1" showInputMessage="1" showErrorMessage="1" errorTitle="Warning" error="Value not in the range of -20 and 20!" sqref="G2">
      <formula1>-20</formula1>
      <formula2>20</formula2>
    </dataValidation>
    <dataValidation type="custom" allowBlank="1" showInputMessage="1" showErrorMessage="1" errorTitle="Warning" error="Reference does not exist!" sqref="H2">
      <formula1>COUNTIF($U$1:$U$116,H2)=1</formula1>
    </dataValidation>
    <dataValidation type="list" errorStyle="warning" allowBlank="1" showInputMessage="1" showErrorMessage="1" errorTitle="Warning" error="Type does not exist in the library!" sqref="D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">
      <formula1>"CAP,TF,IC,DCFEED"</formula1>
    </dataValidation>
    <dataValidation type="whole" allowBlank="1" showInputMessage="1" showErrorMessage="1" errorTitle="Warning" error="Value not in the range of -20 and 20!" sqref="G3">
      <formula1>-20</formula1>
      <formula2>20</formula2>
    </dataValidation>
    <dataValidation type="custom" allowBlank="1" showInputMessage="1" showErrorMessage="1" errorTitle="Warning" error="Reference number does not exist or Duplicates!" sqref="C3">
      <formula1>AND(COUNTIF($C$2:$C$233,C3)=1, COUNTIF($U$1:$U$116,C3)=1)</formula1>
    </dataValidation>
    <dataValidation type="list" errorStyle="warning" allowBlank="1" showInputMessage="1" showErrorMessage="1" errorTitle="Warning" error="Type does not exist in the library!" sqref="D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">
      <formula1>"CAP,TF,IC,DCFEED"</formula1>
    </dataValidation>
    <dataValidation type="whole" allowBlank="1" showInputMessage="1" showErrorMessage="1" errorTitle="Warning" error="Value not in the range of -20 and 20!" sqref="G4">
      <formula1>-20</formula1>
      <formula2>20</formula2>
    </dataValidation>
    <dataValidation type="custom" allowBlank="1" showInputMessage="1" showErrorMessage="1" errorTitle="Warning" error="Reference does not exist!" sqref="H4">
      <formula1>COUNTIF($U$1:$U$116,H4)=1</formula1>
    </dataValidation>
    <dataValidation type="list" errorStyle="warning" allowBlank="1" showInputMessage="1" showErrorMessage="1" errorTitle="Warning" error="Type does not exist in the library!" sqref="D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">
      <formula1>"CAP,TF,IC,DCFEED"</formula1>
    </dataValidation>
    <dataValidation type="whole" allowBlank="1" showInputMessage="1" showErrorMessage="1" errorTitle="Warning" error="Value not in the range of -20 and 20!" sqref="G5">
      <formula1>-20</formula1>
      <formula2>20</formula2>
    </dataValidation>
    <dataValidation type="custom" allowBlank="1" showInputMessage="1" showErrorMessage="1" errorTitle="Warning" error="Reference number does not exist or Duplicates!" sqref="C5">
      <formula1>AND(COUNTIF($C$2:$C$233,C5)=1, COUNTIF($U$1:$U$116,C5)=1)</formula1>
    </dataValidation>
    <dataValidation type="list" errorStyle="warning" allowBlank="1" showInputMessage="1" showErrorMessage="1" errorTitle="Warning" error="Type does not exist in the library!" sqref="D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">
      <formula1>"CAP,TF,IC,DCFEED"</formula1>
    </dataValidation>
    <dataValidation type="whole" allowBlank="1" showInputMessage="1" showErrorMessage="1" errorTitle="Warning" error="Value not in the range of -20 and 20!" sqref="G6">
      <formula1>-20</formula1>
      <formula2>20</formula2>
    </dataValidation>
    <dataValidation type="custom" allowBlank="1" showInputMessage="1" showErrorMessage="1" errorTitle="Warning" error="Reference does not exist!" sqref="H6">
      <formula1>COUNTIF($U$1:$U$116,H6)=1</formula1>
    </dataValidation>
    <dataValidation type="list" errorStyle="warning" allowBlank="1" showInputMessage="1" showErrorMessage="1" errorTitle="Warning" error="Type does not exist in the library!" sqref="D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">
      <formula1>"CAP,TF,IC,DCFEED"</formula1>
    </dataValidation>
    <dataValidation type="whole" allowBlank="1" showInputMessage="1" showErrorMessage="1" errorTitle="Warning" error="Value not in the range of -20 and 20!" sqref="G7">
      <formula1>-20</formula1>
      <formula2>20</formula2>
    </dataValidation>
    <dataValidation type="custom" allowBlank="1" showInputMessage="1" showErrorMessage="1" errorTitle="Warning" error="Reference does not exist!" sqref="H7">
      <formula1>COUNTIF($U$1:$U$116,H7)=1</formula1>
    </dataValidation>
    <dataValidation type="list" errorStyle="warning" allowBlank="1" showInputMessage="1" showErrorMessage="1" errorTitle="Warning" error="Type does not exist in the library!" sqref="D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">
      <formula1>"CAP,TF,IC,DCFEED"</formula1>
    </dataValidation>
    <dataValidation type="whole" allowBlank="1" showInputMessage="1" showErrorMessage="1" errorTitle="Warning" error="Value not in the range of -20 and 20!" sqref="G8">
      <formula1>-20</formula1>
      <formula2>20</formula2>
    </dataValidation>
    <dataValidation type="custom" allowBlank="1" showInputMessage="1" showErrorMessage="1" errorTitle="Warning" error="Reference does not exist!" sqref="H8">
      <formula1>COUNTIF($U$1:$U$116,H8)=1</formula1>
    </dataValidation>
    <dataValidation type="list" errorStyle="warning" allowBlank="1" showInputMessage="1" showErrorMessage="1" errorTitle="Warning" error="Type does not exist in the library!" sqref="D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">
      <formula1>"CAP,TF,IC,DCFEED"</formula1>
    </dataValidation>
    <dataValidation type="whole" allowBlank="1" showInputMessage="1" showErrorMessage="1" errorTitle="Warning" error="Value not in the range of -20 and 20!" sqref="G9">
      <formula1>-20</formula1>
      <formula2>20</formula2>
    </dataValidation>
    <dataValidation type="custom" allowBlank="1" showInputMessage="1" showErrorMessage="1" errorTitle="Warning" error="Reference does not exist!" sqref="H9">
      <formula1>COUNTIF($U$1:$U$116,H9)=1</formula1>
    </dataValidation>
    <dataValidation type="list" errorStyle="warning" allowBlank="1" showInputMessage="1" showErrorMessage="1" errorTitle="Warning" error="Type does not exist in the library!" sqref="D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">
      <formula1>"CAP,TF,IC,DCFEED"</formula1>
    </dataValidation>
    <dataValidation type="whole" allowBlank="1" showInputMessage="1" showErrorMessage="1" errorTitle="Warning" error="Value not in the range of -20 and 20!" sqref="G10">
      <formula1>-20</formula1>
      <formula2>20</formula2>
    </dataValidation>
    <dataValidation type="custom" allowBlank="1" showInputMessage="1" showErrorMessage="1" errorTitle="Warning" error="Reference does not exist!" sqref="H10">
      <formula1>COUNTIF($U$1:$U$116,H10)=1</formula1>
    </dataValidation>
    <dataValidation type="list" errorStyle="warning" allowBlank="1" showInputMessage="1" showErrorMessage="1" errorTitle="Warning" error="Type does not exist in the library!" sqref="D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">
      <formula1>"CAP,TF,IC,DCFEED"</formula1>
    </dataValidation>
    <dataValidation type="whole" allowBlank="1" showInputMessage="1" showErrorMessage="1" errorTitle="Warning" error="Value not in the range of -20 and 20!" sqref="G11">
      <formula1>-20</formula1>
      <formula2>20</formula2>
    </dataValidation>
    <dataValidation type="custom" allowBlank="1" showInputMessage="1" showErrorMessage="1" errorTitle="Warning" error="Reference does not exist!" sqref="H11">
      <formula1>COUNTIF($U$1:$U$116,H11)=1</formula1>
    </dataValidation>
    <dataValidation type="list" errorStyle="warning" allowBlank="1" showInputMessage="1" showErrorMessage="1" errorTitle="Warning" error="Type does not exist in the library!" sqref="D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">
      <formula1>"CAP,TF,IC,DCFEED"</formula1>
    </dataValidation>
    <dataValidation type="whole" allowBlank="1" showInputMessage="1" showErrorMessage="1" errorTitle="Warning" error="Value not in the range of -20 and 20!" sqref="G12">
      <formula1>-20</formula1>
      <formula2>20</formula2>
    </dataValidation>
    <dataValidation type="custom" allowBlank="1" showInputMessage="1" showErrorMessage="1" errorTitle="Warning" error="Reference does not exist!" sqref="H12">
      <formula1>COUNTIF($U$1:$U$116,H12)=1</formula1>
    </dataValidation>
    <dataValidation type="list" errorStyle="warning" allowBlank="1" showInputMessage="1" showErrorMessage="1" errorTitle="Warning" error="Type does not exist in the library!" sqref="D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">
      <formula1>"CAP,TF,IC,DCFEED"</formula1>
    </dataValidation>
    <dataValidation type="whole" allowBlank="1" showInputMessage="1" showErrorMessage="1" errorTitle="Warning" error="Value not in the range of -20 and 20!" sqref="G13">
      <formula1>-20</formula1>
      <formula2>20</formula2>
    </dataValidation>
    <dataValidation type="custom" allowBlank="1" showInputMessage="1" showErrorMessage="1" errorTitle="Warning" error="Reference does not exist!" sqref="H13">
      <formula1>COUNTIF($U$1:$U$116,H13)=1</formula1>
    </dataValidation>
    <dataValidation type="list" errorStyle="warning" allowBlank="1" showInputMessage="1" showErrorMessage="1" errorTitle="Warning" error="Type does not exist in the library!" sqref="D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">
      <formula1>"CAP,TF,IC,DCFEED"</formula1>
    </dataValidation>
    <dataValidation type="whole" allowBlank="1" showInputMessage="1" showErrorMessage="1" errorTitle="Warning" error="Value not in the range of -20 and 20!" sqref="G14">
      <formula1>-20</formula1>
      <formula2>20</formula2>
    </dataValidation>
    <dataValidation type="custom" allowBlank="1" showInputMessage="1" showErrorMessage="1" errorTitle="Warning" error="Reference does not exist!" sqref="H14">
      <formula1>COUNTIF($U$1:$U$116,H14)=1</formula1>
    </dataValidation>
    <dataValidation type="list" errorStyle="warning" allowBlank="1" showInputMessage="1" showErrorMessage="1" errorTitle="Warning" error="Type does not exist in the library!" sqref="D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">
      <formula1>"CAP,TF,IC,DCFEED"</formula1>
    </dataValidation>
    <dataValidation type="whole" allowBlank="1" showInputMessage="1" showErrorMessage="1" errorTitle="Warning" error="Value not in the range of -20 and 20!" sqref="G15">
      <formula1>-20</formula1>
      <formula2>20</formula2>
    </dataValidation>
    <dataValidation type="custom" allowBlank="1" showInputMessage="1" showErrorMessage="1" errorTitle="Warning" error="Reference does not exist!" sqref="H15">
      <formula1>COUNTIF($U$1:$U$116,H15)=1</formula1>
    </dataValidation>
    <dataValidation type="list" errorStyle="warning" allowBlank="1" showInputMessage="1" showErrorMessage="1" errorTitle="Warning" error="Type does not exist in the library!" sqref="D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">
      <formula1>"CAP,TF,IC,DCFEED"</formula1>
    </dataValidation>
    <dataValidation type="whole" allowBlank="1" showInputMessage="1" showErrorMessage="1" errorTitle="Warning" error="Value not in the range of -20 and 20!" sqref="G16">
      <formula1>-20</formula1>
      <formula2>20</formula2>
    </dataValidation>
    <dataValidation type="custom" allowBlank="1" showInputMessage="1" showErrorMessage="1" errorTitle="Warning" error="Reference does not exist!" sqref="H16">
      <formula1>COUNTIF($U$1:$U$116,H16)=1</formula1>
    </dataValidation>
    <dataValidation type="list" errorStyle="warning" allowBlank="1" showInputMessage="1" showErrorMessage="1" errorTitle="Warning" error="Type does not exist in the library!" sqref="D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">
      <formula1>"CAP,TF,IC,DCFEED"</formula1>
    </dataValidation>
    <dataValidation type="whole" allowBlank="1" showInputMessage="1" showErrorMessage="1" errorTitle="Warning" error="Value not in the range of -20 and 20!" sqref="G17">
      <formula1>-20</formula1>
      <formula2>20</formula2>
    </dataValidation>
    <dataValidation type="custom" allowBlank="1" showInputMessage="1" showErrorMessage="1" errorTitle="Warning" error="Reference does not exist!" sqref="H17">
      <formula1>COUNTIF($U$1:$U$116,H17)=1</formula1>
    </dataValidation>
    <dataValidation type="list" errorStyle="warning" allowBlank="1" showInputMessage="1" showErrorMessage="1" errorTitle="Warning" error="Type does not exist in the library!" sqref="D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">
      <formula1>"CAP,TF,IC,DCFEED"</formula1>
    </dataValidation>
    <dataValidation type="whole" allowBlank="1" showInputMessage="1" showErrorMessage="1" errorTitle="Warning" error="Value not in the range of -20 and 20!" sqref="G18">
      <formula1>-20</formula1>
      <formula2>20</formula2>
    </dataValidation>
    <dataValidation type="custom" allowBlank="1" showInputMessage="1" showErrorMessage="1" errorTitle="Warning" error="Reference does not exist!" sqref="H18">
      <formula1>COUNTIF($U$1:$U$116,H18)=1</formula1>
    </dataValidation>
    <dataValidation type="list" errorStyle="warning" allowBlank="1" showInputMessage="1" showErrorMessage="1" errorTitle="Warning" error="Type does not exist in the library!" sqref="D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">
      <formula1>"CAP,TF,IC,DCFEED"</formula1>
    </dataValidation>
    <dataValidation type="whole" allowBlank="1" showInputMessage="1" showErrorMessage="1" errorTitle="Warning" error="Value not in the range of -20 and 20!" sqref="G19">
      <formula1>-20</formula1>
      <formula2>20</formula2>
    </dataValidation>
    <dataValidation type="custom" allowBlank="1" showInputMessage="1" showErrorMessage="1" errorTitle="Warning" error="Reference does not exist!" sqref="H19">
      <formula1>COUNTIF($U$1:$U$116,H19)=1</formula1>
    </dataValidation>
    <dataValidation type="list" errorStyle="warning" allowBlank="1" showInputMessage="1" showErrorMessage="1" errorTitle="Warning" error="Type does not exist in the library!" sqref="D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">
      <formula1>"CAP,TF,IC,DCFEED"</formula1>
    </dataValidation>
    <dataValidation type="whole" allowBlank="1" showInputMessage="1" showErrorMessage="1" errorTitle="Warning" error="Value not in the range of -20 and 20!" sqref="G20">
      <formula1>-20</formula1>
      <formula2>20</formula2>
    </dataValidation>
    <dataValidation type="custom" allowBlank="1" showInputMessage="1" showErrorMessage="1" errorTitle="Warning" error="Reference does not exist!" sqref="H20">
      <formula1>COUNTIF($U$1:$U$116,H20)=1</formula1>
    </dataValidation>
    <dataValidation type="list" errorStyle="warning" allowBlank="1" showInputMessage="1" showErrorMessage="1" errorTitle="Warning" error="Type does not exist in the library!" sqref="D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">
      <formula1>"CAP,TF,IC,DCFEED"</formula1>
    </dataValidation>
    <dataValidation type="whole" allowBlank="1" showInputMessage="1" showErrorMessage="1" errorTitle="Warning" error="Value not in the range of -20 and 20!" sqref="G21">
      <formula1>-20</formula1>
      <formula2>20</formula2>
    </dataValidation>
    <dataValidation type="custom" allowBlank="1" showInputMessage="1" showErrorMessage="1" errorTitle="Warning" error="Reference does not exist!" sqref="H21">
      <formula1>COUNTIF($U$1:$U$116,H21)=1</formula1>
    </dataValidation>
    <dataValidation type="list" errorStyle="warning" allowBlank="1" showInputMessage="1" showErrorMessage="1" errorTitle="Warning" error="Type does not exist in the library!" sqref="D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">
      <formula1>"CAP,TF,IC,DCFEED"</formula1>
    </dataValidation>
    <dataValidation type="whole" allowBlank="1" showInputMessage="1" showErrorMessage="1" errorTitle="Warning" error="Value not in the range of -20 and 20!" sqref="G22">
      <formula1>-20</formula1>
      <formula2>20</formula2>
    </dataValidation>
    <dataValidation type="custom" allowBlank="1" showInputMessage="1" showErrorMessage="1" errorTitle="Warning" error="Reference does not exist!" sqref="H22">
      <formula1>COUNTIF($U$1:$U$116,H22)=1</formula1>
    </dataValidation>
    <dataValidation type="list" errorStyle="warning" allowBlank="1" showInputMessage="1" showErrorMessage="1" errorTitle="Warning" error="Type does not exist in the library!" sqref="D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">
      <formula1>"CAP,TF,IC,DCFEED"</formula1>
    </dataValidation>
    <dataValidation type="whole" allowBlank="1" showInputMessage="1" showErrorMessage="1" errorTitle="Warning" error="Value not in the range of -20 and 20!" sqref="G23">
      <formula1>-20</formula1>
      <formula2>20</formula2>
    </dataValidation>
    <dataValidation type="custom" allowBlank="1" showInputMessage="1" showErrorMessage="1" errorTitle="Warning" error="Reference does not exist!" sqref="H23">
      <formula1>COUNTIF($U$1:$U$116,H23)=1</formula1>
    </dataValidation>
    <dataValidation type="list" errorStyle="warning" allowBlank="1" showInputMessage="1" showErrorMessage="1" errorTitle="Warning" error="Type does not exist in the library!" sqref="D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">
      <formula1>"CAP,TF,IC,DCFEED"</formula1>
    </dataValidation>
    <dataValidation type="whole" allowBlank="1" showInputMessage="1" showErrorMessage="1" errorTitle="Warning" error="Value not in the range of -20 and 20!" sqref="G24">
      <formula1>-20</formula1>
      <formula2>20</formula2>
    </dataValidation>
    <dataValidation type="custom" allowBlank="1" showInputMessage="1" showErrorMessage="1" errorTitle="Warning" error="Reference does not exist!" sqref="H24">
      <formula1>COUNTIF($U$1:$U$116,H24)=1</formula1>
    </dataValidation>
    <dataValidation type="list" errorStyle="warning" allowBlank="1" showInputMessage="1" showErrorMessage="1" errorTitle="Warning" error="Type does not exist in the library!" sqref="D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4">
      <formula1>"CAP,TF,IC,DCFEED"</formula1>
    </dataValidation>
    <dataValidation type="whole" allowBlank="1" showInputMessage="1" showErrorMessage="1" errorTitle="Warning" error="Value not in the range of -20 and 20!" sqref="G25">
      <formula1>-20</formula1>
      <formula2>20</formula2>
    </dataValidation>
    <dataValidation type="custom" allowBlank="1" showInputMessage="1" showErrorMessage="1" errorTitle="Warning" error="Reference does not exist!" sqref="H25">
      <formula1>COUNTIF($U$1:$U$116,H25)=1</formula1>
    </dataValidation>
    <dataValidation type="list" errorStyle="warning" allowBlank="1" showInputMessage="1" showErrorMessage="1" errorTitle="Warning" error="Type does not exist in the library!" sqref="D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5">
      <formula1>"CAP,TF,IC,DCFEED"</formula1>
    </dataValidation>
    <dataValidation type="whole" allowBlank="1" showInputMessage="1" showErrorMessage="1" errorTitle="Warning" error="Value not in the range of -20 and 20!" sqref="G26">
      <formula1>-20</formula1>
      <formula2>20</formula2>
    </dataValidation>
    <dataValidation type="custom" allowBlank="1" showInputMessage="1" showErrorMessage="1" errorTitle="Warning" error="Reference does not exist!" sqref="H26">
      <formula1>COUNTIF($U$1:$U$116,H26)=1</formula1>
    </dataValidation>
    <dataValidation type="list" errorStyle="warning" allowBlank="1" showInputMessage="1" showErrorMessage="1" errorTitle="Warning" error="Type does not exist in the library!" sqref="D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6">
      <formula1>"CAP,TF,IC,DCFEED"</formula1>
    </dataValidation>
    <dataValidation type="whole" allowBlank="1" showInputMessage="1" showErrorMessage="1" errorTitle="Warning" error="Value not in the range of -20 and 20!" sqref="G27">
      <formula1>-20</formula1>
      <formula2>20</formula2>
    </dataValidation>
    <dataValidation type="custom" allowBlank="1" showInputMessage="1" showErrorMessage="1" errorTitle="Warning" error="Reference does not exist!" sqref="H27">
      <formula1>COUNTIF($U$1:$U$116,H27)=1</formula1>
    </dataValidation>
    <dataValidation type="list" errorStyle="warning" allowBlank="1" showInputMessage="1" showErrorMessage="1" errorTitle="Warning" error="Type does not exist in the library!" sqref="D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7">
      <formula1>"CAP,TF,IC,DCFEED"</formula1>
    </dataValidation>
    <dataValidation type="whole" allowBlank="1" showInputMessage="1" showErrorMessage="1" errorTitle="Warning" error="Value not in the range of -20 and 20!" sqref="G28">
      <formula1>-20</formula1>
      <formula2>20</formula2>
    </dataValidation>
    <dataValidation type="custom" allowBlank="1" showInputMessage="1" showErrorMessage="1" errorTitle="Warning" error="Reference does not exist!" sqref="H28">
      <formula1>COUNTIF($U$1:$U$116,H28)=1</formula1>
    </dataValidation>
    <dataValidation type="list" errorStyle="warning" allowBlank="1" showInputMessage="1" showErrorMessage="1" errorTitle="Warning" error="Type does not exist in the library!" sqref="D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8">
      <formula1>"CAP,TF,IC,DCFEED"</formula1>
    </dataValidation>
    <dataValidation type="whole" allowBlank="1" showInputMessage="1" showErrorMessage="1" errorTitle="Warning" error="Value not in the range of -20 and 20!" sqref="G29">
      <formula1>-20</formula1>
      <formula2>20</formula2>
    </dataValidation>
    <dataValidation type="custom" allowBlank="1" showInputMessage="1" showErrorMessage="1" errorTitle="Warning" error="Reference does not exist!" sqref="H29">
      <formula1>COUNTIF($U$1:$U$116,H29)=1</formula1>
    </dataValidation>
    <dataValidation type="list" errorStyle="warning" allowBlank="1" showInputMessage="1" showErrorMessage="1" errorTitle="Warning" error="Type does not exist in the library!" sqref="D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9">
      <formula1>"CAP,TF,IC,DCFEED"</formula1>
    </dataValidation>
    <dataValidation type="whole" allowBlank="1" showInputMessage="1" showErrorMessage="1" errorTitle="Warning" error="Value not in the range of -20 and 20!" sqref="G30">
      <formula1>-20</formula1>
      <formula2>20</formula2>
    </dataValidation>
    <dataValidation type="custom" allowBlank="1" showInputMessage="1" showErrorMessage="1" errorTitle="Warning" error="Reference does not exist!" sqref="H30">
      <formula1>COUNTIF($U$1:$U$116,H30)=1</formula1>
    </dataValidation>
    <dataValidation type="list" errorStyle="warning" allowBlank="1" showInputMessage="1" showErrorMessage="1" errorTitle="Warning" error="Type does not exist in the library!" sqref="D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0">
      <formula1>"CAP,TF,IC,DCFEED"</formula1>
    </dataValidation>
    <dataValidation type="whole" allowBlank="1" showInputMessage="1" showErrorMessage="1" errorTitle="Warning" error="Value not in the range of -20 and 20!" sqref="G31">
      <formula1>-20</formula1>
      <formula2>20</formula2>
    </dataValidation>
    <dataValidation type="custom" allowBlank="1" showInputMessage="1" showErrorMessage="1" errorTitle="Warning" error="Reference does not exist!" sqref="H31">
      <formula1>COUNTIF($U$1:$U$116,H31)=1</formula1>
    </dataValidation>
    <dataValidation type="list" errorStyle="warning" allowBlank="1" showInputMessage="1" showErrorMessage="1" errorTitle="Warning" error="Type does not exist in the library!" sqref="D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1">
      <formula1>"CAP,TF,IC,DCFEED"</formula1>
    </dataValidation>
    <dataValidation type="whole" allowBlank="1" showInputMessage="1" showErrorMessage="1" errorTitle="Warning" error="Value not in the range of -20 and 20!" sqref="G32">
      <formula1>-20</formula1>
      <formula2>20</formula2>
    </dataValidation>
    <dataValidation type="custom" allowBlank="1" showInputMessage="1" showErrorMessage="1" errorTitle="Warning" error="Reference does not exist!" sqref="H32">
      <formula1>COUNTIF($U$1:$U$116,H32)=1</formula1>
    </dataValidation>
    <dataValidation type="list" errorStyle="warning" allowBlank="1" showInputMessage="1" showErrorMessage="1" errorTitle="Warning" error="Type does not exist in the library!" sqref="D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2">
      <formula1>"CAP,TF,IC,DCFEED"</formula1>
    </dataValidation>
    <dataValidation type="whole" allowBlank="1" showInputMessage="1" showErrorMessage="1" errorTitle="Warning" error="Value not in the range of -20 and 20!" sqref="G33">
      <formula1>-20</formula1>
      <formula2>20</formula2>
    </dataValidation>
    <dataValidation type="custom" allowBlank="1" showInputMessage="1" showErrorMessage="1" errorTitle="Warning" error="Reference does not exist!" sqref="H33">
      <formula1>COUNTIF($U$1:$U$116,H33)=1</formula1>
    </dataValidation>
    <dataValidation type="list" errorStyle="warning" allowBlank="1" showInputMessage="1" showErrorMessage="1" errorTitle="Warning" error="Type does not exist in the library!" sqref="D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3">
      <formula1>"CAP,TF,IC,DCFEED"</formula1>
    </dataValidation>
    <dataValidation type="whole" allowBlank="1" showInputMessage="1" showErrorMessage="1" errorTitle="Warning" error="Value not in the range of -20 and 20!" sqref="G34">
      <formula1>-20</formula1>
      <formula2>20</formula2>
    </dataValidation>
    <dataValidation type="custom" allowBlank="1" showInputMessage="1" showErrorMessage="1" errorTitle="Warning" error="Reference does not exist!" sqref="H34">
      <formula1>COUNTIF($U$1:$U$116,H34)=1</formula1>
    </dataValidation>
    <dataValidation type="list" errorStyle="warning" allowBlank="1" showInputMessage="1" showErrorMessage="1" errorTitle="Warning" error="Type does not exist in the library!" sqref="D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4">
      <formula1>"CAP,TF,IC,DCFEED"</formula1>
    </dataValidation>
    <dataValidation type="whole" allowBlank="1" showInputMessage="1" showErrorMessage="1" errorTitle="Warning" error="Value not in the range of -20 and 20!" sqref="G35">
      <formula1>-20</formula1>
      <formula2>20</formula2>
    </dataValidation>
    <dataValidation type="custom" allowBlank="1" showInputMessage="1" showErrorMessage="1" errorTitle="Warning" error="Reference does not exist!" sqref="H35">
      <formula1>COUNTIF($U$1:$U$116,H35)=1</formula1>
    </dataValidation>
    <dataValidation type="list" errorStyle="warning" allowBlank="1" showInputMessage="1" showErrorMessage="1" errorTitle="Warning" error="Type does not exist in the library!" sqref="D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5">
      <formula1>"CAP,TF,IC,DCFEED"</formula1>
    </dataValidation>
    <dataValidation type="whole" allowBlank="1" showInputMessage="1" showErrorMessage="1" errorTitle="Warning" error="Value not in the range of -20 and 20!" sqref="G36">
      <formula1>-20</formula1>
      <formula2>20</formula2>
    </dataValidation>
    <dataValidation type="custom" allowBlank="1" showInputMessage="1" showErrorMessage="1" errorTitle="Warning" error="Reference number does not exist or Duplicates!" sqref="C36">
      <formula1>AND(COUNTIF($C$2:$C$233,C36)=1, COUNTIF($U$1:$U$116,C36)=1)</formula1>
    </dataValidation>
    <dataValidation type="list" errorStyle="warning" allowBlank="1" showInputMessage="1" showErrorMessage="1" errorTitle="Warning" error="Type does not exist in the library!" sqref="D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6">
      <formula1>"CAP,TF,IC,DCFEED"</formula1>
    </dataValidation>
    <dataValidation type="whole" allowBlank="1" showInputMessage="1" showErrorMessage="1" errorTitle="Warning" error="Value not in the range of -20 and 20!" sqref="G37">
      <formula1>-20</formula1>
      <formula2>20</formula2>
    </dataValidation>
    <dataValidation type="custom" allowBlank="1" showInputMessage="1" showErrorMessage="1" errorTitle="Warning" error="Reference does not exist!" sqref="H37">
      <formula1>COUNTIF($U$1:$U$116,H37)=1</formula1>
    </dataValidation>
    <dataValidation type="list" errorStyle="warning" allowBlank="1" showInputMessage="1" showErrorMessage="1" errorTitle="Warning" error="Type does not exist in the library!" sqref="D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7">
      <formula1>"CAP,TF,IC,DCFEED"</formula1>
    </dataValidation>
    <dataValidation type="whole" allowBlank="1" showInputMessage="1" showErrorMessage="1" errorTitle="Warning" error="Value not in the range of -20 and 20!" sqref="G38">
      <formula1>-20</formula1>
      <formula2>20</formula2>
    </dataValidation>
    <dataValidation type="custom" allowBlank="1" showInputMessage="1" showErrorMessage="1" errorTitle="Warning" error="Reference number does not exist or Duplicates!" sqref="C38">
      <formula1>AND(COUNTIF($C$2:$C$233,C38)=1, COUNTIF($U$1:$U$116,C38)=1)</formula1>
    </dataValidation>
    <dataValidation type="list" errorStyle="warning" allowBlank="1" showInputMessage="1" showErrorMessage="1" errorTitle="Warning" error="Type does not exist in the library!" sqref="D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8">
      <formula1>"CAP,TF,IC,DCFEED"</formula1>
    </dataValidation>
    <dataValidation type="whole" allowBlank="1" showInputMessage="1" showErrorMessage="1" errorTitle="Warning" error="Value not in the range of -20 and 20!" sqref="G39">
      <formula1>-20</formula1>
      <formula2>20</formula2>
    </dataValidation>
    <dataValidation type="custom" allowBlank="1" showInputMessage="1" showErrorMessage="1" errorTitle="Warning" error="Reference number does not exist or Duplicates!" sqref="C39">
      <formula1>AND(COUNTIF($C$2:$C$233,C39)=1, COUNTIF($U$1:$U$116,C39)=1)</formula1>
    </dataValidation>
    <dataValidation type="list" errorStyle="warning" allowBlank="1" showInputMessage="1" showErrorMessage="1" errorTitle="Warning" error="Type does not exist in the library!" sqref="D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9">
      <formula1>"CAP,TF,IC,DCFEED"</formula1>
    </dataValidation>
    <dataValidation type="whole" allowBlank="1" showInputMessage="1" showErrorMessage="1" errorTitle="Warning" error="Value not in the range of -20 and 20!" sqref="G40">
      <formula1>-20</formula1>
      <formula2>20</formula2>
    </dataValidation>
    <dataValidation type="custom" allowBlank="1" showInputMessage="1" showErrorMessage="1" errorTitle="Warning" error="Reference does not exist!" sqref="H40">
      <formula1>COUNTIF($U$1:$U$116,H40)=1</formula1>
    </dataValidation>
    <dataValidation type="list" errorStyle="warning" allowBlank="1" showInputMessage="1" showErrorMessage="1" errorTitle="Warning" error="Type does not exist in the library!" sqref="D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0">
      <formula1>"CAP,TF,IC,DCFEED"</formula1>
    </dataValidation>
    <dataValidation type="whole" allowBlank="1" showInputMessage="1" showErrorMessage="1" errorTitle="Warning" error="Value not in the range of -20 and 20!" sqref="G41">
      <formula1>-20</formula1>
      <formula2>20</formula2>
    </dataValidation>
    <dataValidation type="custom" allowBlank="1" showInputMessage="1" showErrorMessage="1" errorTitle="Warning" error="Reference does not exist!" sqref="H41">
      <formula1>COUNTIF($U$1:$U$116,H41)=1</formula1>
    </dataValidation>
    <dataValidation type="list" errorStyle="warning" allowBlank="1" showInputMessage="1" showErrorMessage="1" errorTitle="Warning" error="Type does not exist in the library!" sqref="D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1">
      <formula1>"CAP,TF,IC,DCFEED"</formula1>
    </dataValidation>
    <dataValidation type="whole" allowBlank="1" showInputMessage="1" showErrorMessage="1" errorTitle="Warning" error="Value not in the range of -20 and 20!" sqref="G42">
      <formula1>-20</formula1>
      <formula2>20</formula2>
    </dataValidation>
    <dataValidation type="custom" allowBlank="1" showInputMessage="1" showErrorMessage="1" errorTitle="Warning" error="Reference number does not exist or Duplicates!" sqref="C42">
      <formula1>AND(COUNTIF($C$2:$C$233,C42)=1, COUNTIF($U$1:$U$116,C42)=1)</formula1>
    </dataValidation>
    <dataValidation type="list" errorStyle="warning" allowBlank="1" showInputMessage="1" showErrorMessage="1" errorTitle="Warning" error="Type does not exist in the library!" sqref="D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2">
      <formula1>"CAP,TF,IC,DCFEED"</formula1>
    </dataValidation>
    <dataValidation type="whole" allowBlank="1" showInputMessage="1" showErrorMessage="1" errorTitle="Warning" error="Value not in the range of -20 and 20!" sqref="G43">
      <formula1>-20</formula1>
      <formula2>20</formula2>
    </dataValidation>
    <dataValidation type="custom" allowBlank="1" showInputMessage="1" showErrorMessage="1" errorTitle="Warning" error="Reference does not exist!" sqref="H43">
      <formula1>COUNTIF($U$1:$U$116,H43)=1</formula1>
    </dataValidation>
    <dataValidation type="list" errorStyle="warning" allowBlank="1" showInputMessage="1" showErrorMessage="1" errorTitle="Warning" error="Type does not exist in the library!" sqref="D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3">
      <formula1>"CAP,TF,IC,DCFEED"</formula1>
    </dataValidation>
    <dataValidation type="whole" allowBlank="1" showInputMessage="1" showErrorMessage="1" errorTitle="Warning" error="Value not in the range of -20 and 20!" sqref="G44">
      <formula1>-20</formula1>
      <formula2>20</formula2>
    </dataValidation>
    <dataValidation type="custom" allowBlank="1" showInputMessage="1" showErrorMessage="1" errorTitle="Warning" error="Reference does not exist!" sqref="H44">
      <formula1>COUNTIF($U$1:$U$116,H44)=1</formula1>
    </dataValidation>
    <dataValidation type="list" errorStyle="warning" allowBlank="1" showInputMessage="1" showErrorMessage="1" errorTitle="Warning" error="Type does not exist in the library!" sqref="D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4">
      <formula1>"CAP,TF,IC,DCFEED"</formula1>
    </dataValidation>
    <dataValidation type="whole" allowBlank="1" showInputMessage="1" showErrorMessage="1" errorTitle="Warning" error="Value not in the range of -20 and 20!" sqref="G45">
      <formula1>-20</formula1>
      <formula2>20</formula2>
    </dataValidation>
    <dataValidation type="custom" allowBlank="1" showInputMessage="1" showErrorMessage="1" errorTitle="Warning" error="Reference does not exist!" sqref="H45">
      <formula1>COUNTIF($U$1:$U$116,H45)=1</formula1>
    </dataValidation>
    <dataValidation type="list" errorStyle="warning" allowBlank="1" showInputMessage="1" showErrorMessage="1" errorTitle="Warning" error="Type does not exist in the library!" sqref="D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5">
      <formula1>"CAP,TF,IC,DCFEED"</formula1>
    </dataValidation>
    <dataValidation type="whole" allowBlank="1" showInputMessage="1" showErrorMessage="1" errorTitle="Warning" error="Value not in the range of -20 and 20!" sqref="G46">
      <formula1>-20</formula1>
      <formula2>20</formula2>
    </dataValidation>
    <dataValidation type="custom" allowBlank="1" showInputMessage="1" showErrorMessage="1" errorTitle="Warning" error="Reference number does not exist or Duplicates!" sqref="C46">
      <formula1>AND(COUNTIF($C$2:$C$233,C46)=1, COUNTIF($U$1:$U$116,C46)=1)</formula1>
    </dataValidation>
    <dataValidation type="list" errorStyle="warning" allowBlank="1" showInputMessage="1" showErrorMessage="1" errorTitle="Warning" error="Type does not exist in the library!" sqref="D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6">
      <formula1>"CAP,TF,IC,DCFEED"</formula1>
    </dataValidation>
    <dataValidation type="whole" allowBlank="1" showInputMessage="1" showErrorMessage="1" errorTitle="Warning" error="Value not in the range of -20 and 20!" sqref="G47">
      <formula1>-20</formula1>
      <formula2>20</formula2>
    </dataValidation>
    <dataValidation type="custom" allowBlank="1" showInputMessage="1" showErrorMessage="1" errorTitle="Warning" error="Reference does not exist!" sqref="H47">
      <formula1>COUNTIF($U$1:$U$116,H47)=1</formula1>
    </dataValidation>
    <dataValidation type="list" errorStyle="warning" allowBlank="1" showInputMessage="1" showErrorMessage="1" errorTitle="Warning" error="Type does not exist in the library!" sqref="D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7">
      <formula1>"CAP,TF,IC,DCFEED"</formula1>
    </dataValidation>
    <dataValidation type="whole" allowBlank="1" showInputMessage="1" showErrorMessage="1" errorTitle="Warning" error="Value not in the range of -20 and 20!" sqref="G48">
      <formula1>-20</formula1>
      <formula2>20</formula2>
    </dataValidation>
    <dataValidation type="custom" allowBlank="1" showInputMessage="1" showErrorMessage="1" errorTitle="Warning" error="Reference number does not exist or Duplicates!" sqref="C48">
      <formula1>AND(COUNTIF($C$2:$C$233,C48)=1, COUNTIF($U$1:$U$116,C48)=1)</formula1>
    </dataValidation>
    <dataValidation type="list" errorStyle="warning" allowBlank="1" showInputMessage="1" showErrorMessage="1" errorTitle="Warning" error="Type does not exist in the library!" sqref="D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8">
      <formula1>"CAP,TF,IC,DCFEED"</formula1>
    </dataValidation>
    <dataValidation type="whole" allowBlank="1" showInputMessage="1" showErrorMessage="1" errorTitle="Warning" error="Value not in the range of -20 and 20!" sqref="G49">
      <formula1>-20</formula1>
      <formula2>20</formula2>
    </dataValidation>
    <dataValidation type="custom" allowBlank="1" showInputMessage="1" showErrorMessage="1" errorTitle="Warning" error="Reference does not exist!" sqref="H49">
      <formula1>COUNTIF($U$1:$U$116,H49)=1</formula1>
    </dataValidation>
    <dataValidation type="list" errorStyle="warning" allowBlank="1" showInputMessage="1" showErrorMessage="1" errorTitle="Warning" error="Type does not exist in the library!" sqref="D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9">
      <formula1>"CAP,TF,IC,DCFEED"</formula1>
    </dataValidation>
    <dataValidation type="whole" allowBlank="1" showInputMessage="1" showErrorMessage="1" errorTitle="Warning" error="Value not in the range of -20 and 20!" sqref="G50">
      <formula1>-20</formula1>
      <formula2>20</formula2>
    </dataValidation>
    <dataValidation type="custom" allowBlank="1" showInputMessage="1" showErrorMessage="1" errorTitle="Warning" error="Reference number does not exist or Duplicates!" sqref="C50">
      <formula1>AND(COUNTIF($C$2:$C$233,C50)=1, COUNTIF($U$1:$U$116,C50)=1)</formula1>
    </dataValidation>
    <dataValidation type="list" errorStyle="warning" allowBlank="1" showInputMessage="1" showErrorMessage="1" errorTitle="Warning" error="Type does not exist in the library!" sqref="D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0">
      <formula1>"CAP,TF,IC,DCFEED"</formula1>
    </dataValidation>
    <dataValidation type="whole" allowBlank="1" showInputMessage="1" showErrorMessage="1" errorTitle="Warning" error="Value not in the range of -20 and 20!" sqref="G51">
      <formula1>-20</formula1>
      <formula2>20</formula2>
    </dataValidation>
    <dataValidation type="custom" allowBlank="1" showInputMessage="1" showErrorMessage="1" errorTitle="Warning" error="Reference does not exist!" sqref="H51">
      <formula1>COUNTIF($U$1:$U$116,H51)=1</formula1>
    </dataValidation>
    <dataValidation type="list" errorStyle="warning" allowBlank="1" showInputMessage="1" showErrorMessage="1" errorTitle="Warning" error="Type does not exist in the library!" sqref="D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1">
      <formula1>"CAP,TF,IC,DCFEED"</formula1>
    </dataValidation>
    <dataValidation type="whole" allowBlank="1" showInputMessage="1" showErrorMessage="1" errorTitle="Warning" error="Value not in the range of -20 and 20!" sqref="G52">
      <formula1>-20</formula1>
      <formula2>20</formula2>
    </dataValidation>
    <dataValidation type="custom" allowBlank="1" showInputMessage="1" showErrorMessage="1" errorTitle="Warning" error="Reference number does not exist or Duplicates!" sqref="C52">
      <formula1>AND(COUNTIF($C$2:$C$233,C52)=1, COUNTIF($U$1:$U$116,C52)=1)</formula1>
    </dataValidation>
    <dataValidation type="list" errorStyle="warning" allowBlank="1" showInputMessage="1" showErrorMessage="1" errorTitle="Warning" error="Type does not exist in the library!" sqref="D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2">
      <formula1>"CAP,TF,IC,DCFEED"</formula1>
    </dataValidation>
    <dataValidation type="whole" allowBlank="1" showInputMessage="1" showErrorMessage="1" errorTitle="Warning" error="Value not in the range of -20 and 20!" sqref="G53">
      <formula1>-20</formula1>
      <formula2>20</formula2>
    </dataValidation>
    <dataValidation type="custom" allowBlank="1" showInputMessage="1" showErrorMessage="1" errorTitle="Warning" error="Reference number does not exist or Duplicates!" sqref="C53">
      <formula1>AND(COUNTIF($C$2:$C$233,C53)=1, COUNTIF($U$1:$U$116,C53)=1)</formula1>
    </dataValidation>
    <dataValidation type="list" errorStyle="warning" allowBlank="1" showInputMessage="1" showErrorMessage="1" errorTitle="Warning" error="Type does not exist in the library!" sqref="D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3">
      <formula1>"CAP,TF,IC,DCFEED"</formula1>
    </dataValidation>
    <dataValidation type="whole" allowBlank="1" showInputMessage="1" showErrorMessage="1" errorTitle="Warning" error="Value not in the range of -20 and 20!" sqref="G54">
      <formula1>-20</formula1>
      <formula2>20</formula2>
    </dataValidation>
    <dataValidation type="custom" allowBlank="1" showInputMessage="1" showErrorMessage="1" errorTitle="Warning" error="Reference does not exist!" sqref="H54">
      <formula1>COUNTIF($U$1:$U$116,H54)=1</formula1>
    </dataValidation>
    <dataValidation type="list" errorStyle="warning" allowBlank="1" showInputMessage="1" showErrorMessage="1" errorTitle="Warning" error="Type does not exist in the library!" sqref="D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4">
      <formula1>"CAP,TF,IC,DCFEED"</formula1>
    </dataValidation>
    <dataValidation type="whole" allowBlank="1" showInputMessage="1" showErrorMessage="1" errorTitle="Warning" error="Value not in the range of -20 and 20!" sqref="G55">
      <formula1>-20</formula1>
      <formula2>20</formula2>
    </dataValidation>
    <dataValidation type="custom" allowBlank="1" showInputMessage="1" showErrorMessage="1" errorTitle="Warning" error="Reference number does not exist or Duplicates!" sqref="C55">
      <formula1>AND(COUNTIF($C$2:$C$233,C55)=1, COUNTIF($U$1:$U$116,C55)=1)</formula1>
    </dataValidation>
    <dataValidation type="list" errorStyle="warning" allowBlank="1" showInputMessage="1" showErrorMessage="1" errorTitle="Warning" error="Type does not exist in the library!" sqref="D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5">
      <formula1>"CAP,TF,IC,DCFEED"</formula1>
    </dataValidation>
    <dataValidation type="whole" allowBlank="1" showInputMessage="1" showErrorMessage="1" errorTitle="Warning" error="Value not in the range of -20 and 20!" sqref="G56">
      <formula1>-20</formula1>
      <formula2>20</formula2>
    </dataValidation>
    <dataValidation type="custom" allowBlank="1" showInputMessage="1" showErrorMessage="1" errorTitle="Warning" error="Reference does not exist!" sqref="H56">
      <formula1>COUNTIF($U$1:$U$116,H56)=1</formula1>
    </dataValidation>
    <dataValidation type="list" errorStyle="warning" allowBlank="1" showInputMessage="1" showErrorMessage="1" errorTitle="Warning" error="Type does not exist in the library!" sqref="D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6">
      <formula1>"CAP,TF,IC,DCFEED"</formula1>
    </dataValidation>
    <dataValidation type="whole" allowBlank="1" showInputMessage="1" showErrorMessage="1" errorTitle="Warning" error="Value not in the range of -20 and 20!" sqref="G57">
      <formula1>-20</formula1>
      <formula2>20</formula2>
    </dataValidation>
    <dataValidation type="custom" allowBlank="1" showInputMessage="1" showErrorMessage="1" errorTitle="Warning" error="Reference does not exist!" sqref="H57">
      <formula1>COUNTIF($U$1:$U$116,H57)=1</formula1>
    </dataValidation>
    <dataValidation type="list" errorStyle="warning" allowBlank="1" showInputMessage="1" showErrorMessage="1" errorTitle="Warning" error="Type does not exist in the library!" sqref="D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7">
      <formula1>"CAP,TF,IC,DCFEED"</formula1>
    </dataValidation>
    <dataValidation type="whole" allowBlank="1" showInputMessage="1" showErrorMessage="1" errorTitle="Warning" error="Value not in the range of -20 and 20!" sqref="G58">
      <formula1>-20</formula1>
      <formula2>20</formula2>
    </dataValidation>
    <dataValidation type="custom" allowBlank="1" showInputMessage="1" showErrorMessage="1" errorTitle="Warning" error="Reference does not exist!" sqref="H58">
      <formula1>COUNTIF($U$1:$U$116,H58)=1</formula1>
    </dataValidation>
    <dataValidation type="list" errorStyle="warning" allowBlank="1" showInputMessage="1" showErrorMessage="1" errorTitle="Warning" error="Type does not exist in the library!" sqref="D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8">
      <formula1>"CAP,TF,IC,DCFEED"</formula1>
    </dataValidation>
    <dataValidation type="whole" allowBlank="1" showInputMessage="1" showErrorMessage="1" errorTitle="Warning" error="Value not in the range of -20 and 20!" sqref="G59">
      <formula1>-20</formula1>
      <formula2>20</formula2>
    </dataValidation>
    <dataValidation type="custom" allowBlank="1" showInputMessage="1" showErrorMessage="1" errorTitle="Warning" error="Reference number does not exist or Duplicates!" sqref="C59">
      <formula1>AND(COUNTIF($C$2:$C$233,C59)=1, COUNTIF($U$1:$U$116,C59)=1)</formula1>
    </dataValidation>
    <dataValidation type="list" errorStyle="warning" allowBlank="1" showInputMessage="1" showErrorMessage="1" errorTitle="Warning" error="Type does not exist in the library!" sqref="D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9">
      <formula1>"CAP,TF,IC,DCFEED"</formula1>
    </dataValidation>
    <dataValidation type="whole" allowBlank="1" showInputMessage="1" showErrorMessage="1" errorTitle="Warning" error="Value not in the range of -20 and 20!" sqref="G60">
      <formula1>-20</formula1>
      <formula2>20</formula2>
    </dataValidation>
    <dataValidation type="custom" allowBlank="1" showInputMessage="1" showErrorMessage="1" errorTitle="Warning" error="Reference does not exist!" sqref="H60">
      <formula1>COUNTIF($U$1:$U$116,H60)=1</formula1>
    </dataValidation>
    <dataValidation type="list" errorStyle="warning" allowBlank="1" showInputMessage="1" showErrorMessage="1" errorTitle="Warning" error="Type does not exist in the library!" sqref="D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0">
      <formula1>"CAP,TF,IC,DCFEED"</formula1>
    </dataValidation>
    <dataValidation type="whole" allowBlank="1" showInputMessage="1" showErrorMessage="1" errorTitle="Warning" error="Value not in the range of -20 and 20!" sqref="G61">
      <formula1>-20</formula1>
      <formula2>20</formula2>
    </dataValidation>
    <dataValidation type="custom" allowBlank="1" showInputMessage="1" showErrorMessage="1" errorTitle="Warning" error="Reference number does not exist or Duplicates!" sqref="C61">
      <formula1>AND(COUNTIF($C$2:$C$233,C61)=1, COUNTIF($U$1:$U$116,C61)=1)</formula1>
    </dataValidation>
    <dataValidation type="list" errorStyle="warning" allowBlank="1" showInputMessage="1" showErrorMessage="1" errorTitle="Warning" error="Type does not exist in the library!" sqref="D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1">
      <formula1>"CAP,TF,IC,DCFEED"</formula1>
    </dataValidation>
    <dataValidation type="whole" allowBlank="1" showInputMessage="1" showErrorMessage="1" errorTitle="Warning" error="Value not in the range of -20 and 20!" sqref="G62">
      <formula1>-20</formula1>
      <formula2>20</formula2>
    </dataValidation>
    <dataValidation type="custom" allowBlank="1" showInputMessage="1" showErrorMessage="1" errorTitle="Warning" error="Reference does not exist!" sqref="H62">
      <formula1>COUNTIF($U$1:$U$116,H62)=1</formula1>
    </dataValidation>
    <dataValidation type="list" errorStyle="warning" allowBlank="1" showInputMessage="1" showErrorMessage="1" errorTitle="Warning" error="Type does not exist in the library!" sqref="D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2">
      <formula1>"CAP,TF,IC,DCFEED"</formula1>
    </dataValidation>
    <dataValidation type="whole" allowBlank="1" showInputMessage="1" showErrorMessage="1" errorTitle="Warning" error="Value not in the range of -20 and 20!" sqref="G63">
      <formula1>-20</formula1>
      <formula2>20</formula2>
    </dataValidation>
    <dataValidation type="custom" allowBlank="1" showInputMessage="1" showErrorMessage="1" errorTitle="Warning" error="Reference number does not exist or Duplicates!" sqref="C63">
      <formula1>AND(COUNTIF($C$2:$C$233,C63)=1, COUNTIF($U$1:$U$116,C63)=1)</formula1>
    </dataValidation>
    <dataValidation type="list" errorStyle="warning" allowBlank="1" showInputMessage="1" showErrorMessage="1" errorTitle="Warning" error="Type does not exist in the library!" sqref="D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3">
      <formula1>"CAP,TF,IC,DCFEED"</formula1>
    </dataValidation>
    <dataValidation type="whole" allowBlank="1" showInputMessage="1" showErrorMessage="1" errorTitle="Warning" error="Value not in the range of -20 and 20!" sqref="G64">
      <formula1>-20</formula1>
      <formula2>20</formula2>
    </dataValidation>
    <dataValidation type="custom" allowBlank="1" showInputMessage="1" showErrorMessage="1" errorTitle="Warning" error="Reference does not exist!" sqref="H64">
      <formula1>COUNTIF($U$1:$U$116,H64)=1</formula1>
    </dataValidation>
    <dataValidation type="list" errorStyle="warning" allowBlank="1" showInputMessage="1" showErrorMessage="1" errorTitle="Warning" error="Type does not exist in the library!" sqref="D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4">
      <formula1>"CAP,TF,IC,DCFEED"</formula1>
    </dataValidation>
    <dataValidation type="whole" allowBlank="1" showInputMessage="1" showErrorMessage="1" errorTitle="Warning" error="Value not in the range of -20 and 20!" sqref="G65">
      <formula1>-20</formula1>
      <formula2>20</formula2>
    </dataValidation>
    <dataValidation type="custom" allowBlank="1" showInputMessage="1" showErrorMessage="1" errorTitle="Warning" error="Reference does not exist!" sqref="H65">
      <formula1>COUNTIF($U$1:$U$116,H65)=1</formula1>
    </dataValidation>
    <dataValidation type="list" errorStyle="warning" allowBlank="1" showInputMessage="1" showErrorMessage="1" errorTitle="Warning" error="Type does not exist in the library!" sqref="D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5">
      <formula1>"CAP,TF,IC,DCFEED"</formula1>
    </dataValidation>
    <dataValidation type="whole" allowBlank="1" showInputMessage="1" showErrorMessage="1" errorTitle="Warning" error="Value not in the range of -20 and 20!" sqref="G66">
      <formula1>-20</formula1>
      <formula2>20</formula2>
    </dataValidation>
    <dataValidation type="custom" allowBlank="1" showInputMessage="1" showErrorMessage="1" errorTitle="Warning" error="Reference number does not exist or Duplicates!" sqref="C66">
      <formula1>AND(COUNTIF($C$2:$C$233,C66)=1, COUNTIF($U$1:$U$116,C66)=1)</formula1>
    </dataValidation>
    <dataValidation type="list" errorStyle="warning" allowBlank="1" showInputMessage="1" showErrorMessage="1" errorTitle="Warning" error="Type does not exist in the library!" sqref="D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6">
      <formula1>"CAP,TF,IC,DCFEED"</formula1>
    </dataValidation>
    <dataValidation type="whole" allowBlank="1" showInputMessage="1" showErrorMessage="1" errorTitle="Warning" error="Value not in the range of -20 and 20!" sqref="G67">
      <formula1>-20</formula1>
      <formula2>20</formula2>
    </dataValidation>
    <dataValidation type="custom" allowBlank="1" showInputMessage="1" showErrorMessage="1" errorTitle="Warning" error="Reference does not exist!" sqref="H67">
      <formula1>COUNTIF($U$1:$U$116,H67)=1</formula1>
    </dataValidation>
    <dataValidation type="list" errorStyle="warning" allowBlank="1" showInputMessage="1" showErrorMessage="1" errorTitle="Warning" error="Type does not exist in the library!" sqref="D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7">
      <formula1>"CAP,TF,IC,DCFEED"</formula1>
    </dataValidation>
    <dataValidation type="whole" allowBlank="1" showInputMessage="1" showErrorMessage="1" errorTitle="Warning" error="Value not in the range of -20 and 20!" sqref="G68">
      <formula1>-20</formula1>
      <formula2>20</formula2>
    </dataValidation>
    <dataValidation type="custom" allowBlank="1" showInputMessage="1" showErrorMessage="1" errorTitle="Warning" error="Reference does not exist!" sqref="H68">
      <formula1>COUNTIF($U$1:$U$116,H68)=1</formula1>
    </dataValidation>
    <dataValidation type="list" errorStyle="warning" allowBlank="1" showInputMessage="1" showErrorMessage="1" errorTitle="Warning" error="Type does not exist in the library!" sqref="D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8">
      <formula1>"CAP,TF,IC,DCFEED"</formula1>
    </dataValidation>
    <dataValidation type="whole" allowBlank="1" showInputMessage="1" showErrorMessage="1" errorTitle="Warning" error="Value not in the range of -20 and 20!" sqref="G69">
      <formula1>-20</formula1>
      <formula2>20</formula2>
    </dataValidation>
    <dataValidation type="custom" allowBlank="1" showInputMessage="1" showErrorMessage="1" errorTitle="Warning" error="Reference number does not exist or Duplicates!" sqref="C69">
      <formula1>AND(COUNTIF($C$2:$C$233,C69)=1, COUNTIF($U$1:$U$116,C69)=1)</formula1>
    </dataValidation>
    <dataValidation type="list" errorStyle="warning" allowBlank="1" showInputMessage="1" showErrorMessage="1" errorTitle="Warning" error="Type does not exist in the library!" sqref="D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9">
      <formula1>"CAP,TF,IC,DCFEED"</formula1>
    </dataValidation>
    <dataValidation type="whole" allowBlank="1" showInputMessage="1" showErrorMessage="1" errorTitle="Warning" error="Value not in the range of -20 and 20!" sqref="G70">
      <formula1>-20</formula1>
      <formula2>20</formula2>
    </dataValidation>
    <dataValidation type="custom" allowBlank="1" showInputMessage="1" showErrorMessage="1" errorTitle="Warning" error="Reference does not exist!" sqref="H70">
      <formula1>COUNTIF($U$1:$U$116,H70)=1</formula1>
    </dataValidation>
    <dataValidation type="list" errorStyle="warning" allowBlank="1" showInputMessage="1" showErrorMessage="1" errorTitle="Warning" error="Type does not exist in the library!" sqref="D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0">
      <formula1>"CAP,TF,IC,DCFEED"</formula1>
    </dataValidation>
    <dataValidation type="whole" allowBlank="1" showInputMessage="1" showErrorMessage="1" errorTitle="Warning" error="Value not in the range of -20 and 20!" sqref="G71">
      <formula1>-20</formula1>
      <formula2>20</formula2>
    </dataValidation>
    <dataValidation type="custom" allowBlank="1" showInputMessage="1" showErrorMessage="1" errorTitle="Warning" error="Reference does not exist!" sqref="H71">
      <formula1>COUNTIF($U$1:$U$116,H71)=1</formula1>
    </dataValidation>
    <dataValidation type="list" errorStyle="warning" allowBlank="1" showInputMessage="1" showErrorMessage="1" errorTitle="Warning" error="Type does not exist in the library!" sqref="D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1">
      <formula1>"CAP,TF,IC,DCFEED"</formula1>
    </dataValidation>
    <dataValidation type="whole" allowBlank="1" showInputMessage="1" showErrorMessage="1" errorTitle="Warning" error="Value not in the range of -20 and 20!" sqref="G72">
      <formula1>-20</formula1>
      <formula2>20</formula2>
    </dataValidation>
    <dataValidation type="custom" allowBlank="1" showInputMessage="1" showErrorMessage="1" errorTitle="Warning" error="Reference does not exist!" sqref="H72">
      <formula1>COUNTIF($U$1:$U$116,H72)=1</formula1>
    </dataValidation>
    <dataValidation type="list" errorStyle="warning" allowBlank="1" showInputMessage="1" showErrorMessage="1" errorTitle="Warning" error="Type does not exist in the library!" sqref="D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2">
      <formula1>"CAP,TF,IC,DCFEED"</formula1>
    </dataValidation>
    <dataValidation type="whole" allowBlank="1" showInputMessage="1" showErrorMessage="1" errorTitle="Warning" error="Value not in the range of -20 and 20!" sqref="G73">
      <formula1>-20</formula1>
      <formula2>20</formula2>
    </dataValidation>
    <dataValidation type="custom" allowBlank="1" showInputMessage="1" showErrorMessage="1" errorTitle="Warning" error="Reference does not exist!" sqref="H73">
      <formula1>COUNTIF($U$1:$U$116,H73)=1</formula1>
    </dataValidation>
    <dataValidation type="list" errorStyle="warning" allowBlank="1" showInputMessage="1" showErrorMessage="1" errorTitle="Warning" error="Type does not exist in the library!" sqref="D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3">
      <formula1>"CAP,TF,IC,DCFEED"</formula1>
    </dataValidation>
    <dataValidation type="whole" allowBlank="1" showInputMessage="1" showErrorMessage="1" errorTitle="Warning" error="Value not in the range of -20 and 20!" sqref="G74">
      <formula1>-20</formula1>
      <formula2>20</formula2>
    </dataValidation>
    <dataValidation type="custom" allowBlank="1" showInputMessage="1" showErrorMessage="1" errorTitle="Warning" error="Reference does not exist!" sqref="H74">
      <formula1>COUNTIF($U$1:$U$116,H74)=1</formula1>
    </dataValidation>
    <dataValidation type="list" errorStyle="warning" allowBlank="1" showInputMessage="1" showErrorMessage="1" errorTitle="Warning" error="Type does not exist in the library!" sqref="D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4">
      <formula1>"CAP,TF,IC,DCFEED"</formula1>
    </dataValidation>
    <dataValidation type="whole" allowBlank="1" showInputMessage="1" showErrorMessage="1" errorTitle="Warning" error="Value not in the range of -20 and 20!" sqref="G75">
      <formula1>-20</formula1>
      <formula2>20</formula2>
    </dataValidation>
    <dataValidation type="custom" allowBlank="1" showInputMessage="1" showErrorMessage="1" errorTitle="Warning" error="Reference does not exist!" sqref="H75">
      <formula1>COUNTIF($U$1:$U$116,H75)=1</formula1>
    </dataValidation>
    <dataValidation type="list" errorStyle="warning" allowBlank="1" showInputMessage="1" showErrorMessage="1" errorTitle="Warning" error="Type does not exist in the library!" sqref="D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5">
      <formula1>"CAP,TF,IC,DCFEED"</formula1>
    </dataValidation>
    <dataValidation type="whole" allowBlank="1" showInputMessage="1" showErrorMessage="1" errorTitle="Warning" error="Value not in the range of -20 and 20!" sqref="G76">
      <formula1>-20</formula1>
      <formula2>20</formula2>
    </dataValidation>
    <dataValidation type="custom" allowBlank="1" showInputMessage="1" showErrorMessage="1" errorTitle="Warning" error="Reference number does not exist or Duplicates!" sqref="C76">
      <formula1>AND(COUNTIF($C$2:$C$233,C76)=1, COUNTIF($U$1:$U$116,C76)=1)</formula1>
    </dataValidation>
    <dataValidation type="list" errorStyle="warning" allowBlank="1" showInputMessage="1" showErrorMessage="1" errorTitle="Warning" error="Type does not exist in the library!" sqref="D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6">
      <formula1>"CAP,TF,IC,DCFEED"</formula1>
    </dataValidation>
    <dataValidation type="whole" allowBlank="1" showInputMessage="1" showErrorMessage="1" errorTitle="Warning" error="Value not in the range of -20 and 20!" sqref="G77">
      <formula1>-20</formula1>
      <formula2>20</formula2>
    </dataValidation>
    <dataValidation type="custom" allowBlank="1" showInputMessage="1" showErrorMessage="1" errorTitle="Warning" error="Reference does not exist!" sqref="H77">
      <formula1>COUNTIF($U$1:$U$116,H77)=1</formula1>
    </dataValidation>
    <dataValidation type="list" errorStyle="warning" allowBlank="1" showInputMessage="1" showErrorMessage="1" errorTitle="Warning" error="Type does not exist in the library!" sqref="D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7">
      <formula1>"CAP,TF,IC,DCFEED"</formula1>
    </dataValidation>
    <dataValidation type="whole" allowBlank="1" showInputMessage="1" showErrorMessage="1" errorTitle="Warning" error="Value not in the range of -20 and 20!" sqref="G78">
      <formula1>-20</formula1>
      <formula2>20</formula2>
    </dataValidation>
    <dataValidation type="custom" allowBlank="1" showInputMessage="1" showErrorMessage="1" errorTitle="Warning" error="Reference does not exist!" sqref="H78">
      <formula1>COUNTIF($U$1:$U$116,H78)=1</formula1>
    </dataValidation>
    <dataValidation type="list" errorStyle="warning" allowBlank="1" showInputMessage="1" showErrorMessage="1" errorTitle="Warning" error="Type does not exist in the library!" sqref="D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8">
      <formula1>"CAP,TF,IC,DCFEED"</formula1>
    </dataValidation>
    <dataValidation type="whole" allowBlank="1" showInputMessage="1" showErrorMessage="1" errorTitle="Warning" error="Value not in the range of -20 and 20!" sqref="G79">
      <formula1>-20</formula1>
      <formula2>20</formula2>
    </dataValidation>
    <dataValidation type="custom" allowBlank="1" showInputMessage="1" showErrorMessage="1" errorTitle="Warning" error="Reference does not exist!" sqref="H79">
      <formula1>COUNTIF($U$1:$U$116,H79)=1</formula1>
    </dataValidation>
    <dataValidation type="list" errorStyle="warning" allowBlank="1" showInputMessage="1" showErrorMessage="1" errorTitle="Warning" error="Type does not exist in the library!" sqref="D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9">
      <formula1>"CAP,TF,IC,DCFEED"</formula1>
    </dataValidation>
    <dataValidation type="whole" allowBlank="1" showInputMessage="1" showErrorMessage="1" errorTitle="Warning" error="Value not in the range of -20 and 20!" sqref="G80">
      <formula1>-20</formula1>
      <formula2>20</formula2>
    </dataValidation>
    <dataValidation type="custom" allowBlank="1" showInputMessage="1" showErrorMessage="1" errorTitle="Warning" error="Reference does not exist!" sqref="H80">
      <formula1>COUNTIF($U$1:$U$116,H80)=1</formula1>
    </dataValidation>
    <dataValidation type="list" errorStyle="warning" allowBlank="1" showInputMessage="1" showErrorMessage="1" errorTitle="Warning" error="Type does not exist in the library!" sqref="D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0">
      <formula1>"CAP,TF,IC,DCFEED"</formula1>
    </dataValidation>
    <dataValidation type="whole" allowBlank="1" showInputMessage="1" showErrorMessage="1" errorTitle="Warning" error="Value not in the range of -20 and 20!" sqref="G81">
      <formula1>-20</formula1>
      <formula2>20</formula2>
    </dataValidation>
    <dataValidation type="custom" allowBlank="1" showInputMessage="1" showErrorMessage="1" errorTitle="Warning" error="Reference does not exist!" sqref="H81">
      <formula1>COUNTIF($U$1:$U$116,H81)=1</formula1>
    </dataValidation>
    <dataValidation type="list" errorStyle="warning" allowBlank="1" showInputMessage="1" showErrorMessage="1" errorTitle="Warning" error="Type does not exist in the library!" sqref="D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1">
      <formula1>"CAP,TF,IC,DCFEED"</formula1>
    </dataValidation>
    <dataValidation type="whole" allowBlank="1" showInputMessage="1" showErrorMessage="1" errorTitle="Warning" error="Value not in the range of -20 and 20!" sqref="G82">
      <formula1>-20</formula1>
      <formula2>20</formula2>
    </dataValidation>
    <dataValidation type="custom" allowBlank="1" showInputMessage="1" showErrorMessage="1" errorTitle="Warning" error="Reference does not exist!" sqref="H82">
      <formula1>COUNTIF($U$1:$U$116,H82)=1</formula1>
    </dataValidation>
    <dataValidation type="list" errorStyle="warning" allowBlank="1" showInputMessage="1" showErrorMessage="1" errorTitle="Warning" error="Type does not exist in the library!" sqref="D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2">
      <formula1>"CAP,TF,IC,DCFEED"</formula1>
    </dataValidation>
    <dataValidation type="whole" allowBlank="1" showInputMessage="1" showErrorMessage="1" errorTitle="Warning" error="Value not in the range of -20 and 20!" sqref="G83">
      <formula1>-20</formula1>
      <formula2>20</formula2>
    </dataValidation>
    <dataValidation type="custom" allowBlank="1" showInputMessage="1" showErrorMessage="1" errorTitle="Warning" error="Reference does not exist!" sqref="H83">
      <formula1>COUNTIF($U$1:$U$116,H83)=1</formula1>
    </dataValidation>
    <dataValidation type="list" errorStyle="warning" allowBlank="1" showInputMessage="1" showErrorMessage="1" errorTitle="Warning" error="Type does not exist in the library!" sqref="D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3">
      <formula1>"CAP,TF,IC,DCFEED"</formula1>
    </dataValidation>
    <dataValidation type="whole" allowBlank="1" showInputMessage="1" showErrorMessage="1" errorTitle="Warning" error="Value not in the range of -20 and 20!" sqref="G84">
      <formula1>-20</formula1>
      <formula2>20</formula2>
    </dataValidation>
    <dataValidation type="custom" allowBlank="1" showInputMessage="1" showErrorMessage="1" errorTitle="Warning" error="Reference does not exist!" sqref="H84">
      <formula1>COUNTIF($U$1:$U$116,H84)=1</formula1>
    </dataValidation>
    <dataValidation type="list" errorStyle="warning" allowBlank="1" showInputMessage="1" showErrorMessage="1" errorTitle="Warning" error="Type does not exist in the library!" sqref="D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4">
      <formula1>"CAP,TF,IC,DCFEED"</formula1>
    </dataValidation>
    <dataValidation type="whole" allowBlank="1" showInputMessage="1" showErrorMessage="1" errorTitle="Warning" error="Value not in the range of -20 and 20!" sqref="G85">
      <formula1>-20</formula1>
      <formula2>20</formula2>
    </dataValidation>
    <dataValidation type="custom" allowBlank="1" showInputMessage="1" showErrorMessage="1" errorTitle="Warning" error="Reference does not exist!" sqref="H85">
      <formula1>COUNTIF($U$1:$U$116,H85)=1</formula1>
    </dataValidation>
    <dataValidation type="list" errorStyle="warning" allowBlank="1" showInputMessage="1" showErrorMessage="1" errorTitle="Warning" error="Type does not exist in the library!" sqref="D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5">
      <formula1>"CAP,TF,IC,DCFEED"</formula1>
    </dataValidation>
    <dataValidation type="whole" allowBlank="1" showInputMessage="1" showErrorMessage="1" errorTitle="Warning" error="Value not in the range of -20 and 20!" sqref="G86">
      <formula1>-20</formula1>
      <formula2>20</formula2>
    </dataValidation>
    <dataValidation type="custom" allowBlank="1" showInputMessage="1" showErrorMessage="1" errorTitle="Warning" error="Reference does not exist!" sqref="H86">
      <formula1>COUNTIF($U$1:$U$116,H86)=1</formula1>
    </dataValidation>
    <dataValidation type="list" errorStyle="warning" allowBlank="1" showInputMessage="1" showErrorMessage="1" errorTitle="Warning" error="Type does not exist in the library!" sqref="D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6">
      <formula1>"CAP,TF,IC,DCFEED"</formula1>
    </dataValidation>
    <dataValidation type="whole" allowBlank="1" showInputMessage="1" showErrorMessage="1" errorTitle="Warning" error="Value not in the range of -20 and 20!" sqref="G87">
      <formula1>-20</formula1>
      <formula2>20</formula2>
    </dataValidation>
    <dataValidation type="custom" allowBlank="1" showInputMessage="1" showErrorMessage="1" errorTitle="Warning" error="Reference does not exist!" sqref="H87">
      <formula1>COUNTIF($U$1:$U$116,H87)=1</formula1>
    </dataValidation>
    <dataValidation type="list" errorStyle="warning" allowBlank="1" showInputMessage="1" showErrorMessage="1" errorTitle="Warning" error="Type does not exist in the library!" sqref="D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7">
      <formula1>"CAP,TF,IC,DCFEED"</formula1>
    </dataValidation>
    <dataValidation type="whole" allowBlank="1" showInputMessage="1" showErrorMessage="1" errorTitle="Warning" error="Value not in the range of -20 and 20!" sqref="G88">
      <formula1>-20</formula1>
      <formula2>20</formula2>
    </dataValidation>
    <dataValidation type="custom" allowBlank="1" showInputMessage="1" showErrorMessage="1" errorTitle="Warning" error="Reference does not exist!" sqref="H88">
      <formula1>COUNTIF($U$1:$U$116,H88)=1</formula1>
    </dataValidation>
    <dataValidation type="list" errorStyle="warning" allowBlank="1" showInputMessage="1" showErrorMessage="1" errorTitle="Warning" error="Type does not exist in the library!" sqref="D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8">
      <formula1>"CAP,TF,IC,DCFEED"</formula1>
    </dataValidation>
    <dataValidation type="whole" allowBlank="1" showInputMessage="1" showErrorMessage="1" errorTitle="Warning" error="Value not in the range of -20 and 20!" sqref="G89">
      <formula1>-20</formula1>
      <formula2>20</formula2>
    </dataValidation>
    <dataValidation type="custom" allowBlank="1" showInputMessage="1" showErrorMessage="1" errorTitle="Warning" error="Reference does not exist!" sqref="H89">
      <formula1>COUNTIF($U$1:$U$116,H89)=1</formula1>
    </dataValidation>
    <dataValidation type="list" errorStyle="warning" allowBlank="1" showInputMessage="1" showErrorMessage="1" errorTitle="Warning" error="Type does not exist in the library!" sqref="D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9">
      <formula1>"CAP,TF,IC,DCFEED"</formula1>
    </dataValidation>
    <dataValidation type="whole" allowBlank="1" showInputMessage="1" showErrorMessage="1" errorTitle="Warning" error="Value not in the range of -20 and 20!" sqref="G90">
      <formula1>-20</formula1>
      <formula2>20</formula2>
    </dataValidation>
    <dataValidation type="custom" allowBlank="1" showInputMessage="1" showErrorMessage="1" errorTitle="Warning" error="Reference does not exist!" sqref="H90">
      <formula1>COUNTIF($U$1:$U$116,H90)=1</formula1>
    </dataValidation>
    <dataValidation type="list" errorStyle="warning" allowBlank="1" showInputMessage="1" showErrorMessage="1" errorTitle="Warning" error="Type does not exist in the library!" sqref="D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0">
      <formula1>"CAP,TF,IC,DCFEED"</formula1>
    </dataValidation>
    <dataValidation type="whole" allowBlank="1" showInputMessage="1" showErrorMessage="1" errorTitle="Warning" error="Value not in the range of -20 and 20!" sqref="G91">
      <formula1>-20</formula1>
      <formula2>20</formula2>
    </dataValidation>
    <dataValidation type="custom" allowBlank="1" showInputMessage="1" showErrorMessage="1" errorTitle="Warning" error="Reference does not exist!" sqref="H91">
      <formula1>COUNTIF($U$1:$U$116,H91)=1</formula1>
    </dataValidation>
    <dataValidation type="list" errorStyle="warning" allowBlank="1" showInputMessage="1" showErrorMessage="1" errorTitle="Warning" error="Type does not exist in the library!" sqref="D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1">
      <formula1>"CAP,TF,IC,DCFEED"</formula1>
    </dataValidation>
    <dataValidation type="whole" allowBlank="1" showInputMessage="1" showErrorMessage="1" errorTitle="Warning" error="Value not in the range of -20 and 20!" sqref="G92">
      <formula1>-20</formula1>
      <formula2>20</formula2>
    </dataValidation>
    <dataValidation type="custom" allowBlank="1" showInputMessage="1" showErrorMessage="1" errorTitle="Warning" error="Reference does not exist!" sqref="H92">
      <formula1>COUNTIF($U$1:$U$116,H92)=1</formula1>
    </dataValidation>
    <dataValidation type="list" errorStyle="warning" allowBlank="1" showInputMessage="1" showErrorMessage="1" errorTitle="Warning" error="Type does not exist in the library!" sqref="D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2">
      <formula1>"CAP,TF,IC,DCFEED"</formula1>
    </dataValidation>
    <dataValidation type="whole" allowBlank="1" showInputMessage="1" showErrorMessage="1" errorTitle="Warning" error="Value not in the range of -20 and 20!" sqref="G93">
      <formula1>-20</formula1>
      <formula2>20</formula2>
    </dataValidation>
    <dataValidation type="custom" allowBlank="1" showInputMessage="1" showErrorMessage="1" errorTitle="Warning" error="Reference does not exist!" sqref="H93">
      <formula1>COUNTIF($U$1:$U$116,H93)=1</formula1>
    </dataValidation>
    <dataValidation type="list" errorStyle="warning" allowBlank="1" showInputMessage="1" showErrorMessage="1" errorTitle="Warning" error="Type does not exist in the library!" sqref="D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3">
      <formula1>"CAP,TF,IC,DCFEED"</formula1>
    </dataValidation>
    <dataValidation type="whole" allowBlank="1" showInputMessage="1" showErrorMessage="1" errorTitle="Warning" error="Value not in the range of -20 and 20!" sqref="G94">
      <formula1>-20</formula1>
      <formula2>20</formula2>
    </dataValidation>
    <dataValidation type="custom" allowBlank="1" showInputMessage="1" showErrorMessage="1" errorTitle="Warning" error="Reference does not exist!" sqref="H94">
      <formula1>COUNTIF($U$1:$U$116,H94)=1</formula1>
    </dataValidation>
    <dataValidation type="list" errorStyle="warning" allowBlank="1" showInputMessage="1" showErrorMessage="1" errorTitle="Warning" error="Type does not exist in the library!" sqref="D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4">
      <formula1>"CAP,TF,IC,DCFEED"</formula1>
    </dataValidation>
    <dataValidation type="whole" allowBlank="1" showInputMessage="1" showErrorMessage="1" errorTitle="Warning" error="Value not in the range of -20 and 20!" sqref="G95">
      <formula1>-20</formula1>
      <formula2>20</formula2>
    </dataValidation>
    <dataValidation type="custom" allowBlank="1" showInputMessage="1" showErrorMessage="1" errorTitle="Warning" error="Reference does not exist!" sqref="H95">
      <formula1>COUNTIF($U$1:$U$116,H95)=1</formula1>
    </dataValidation>
    <dataValidation type="list" errorStyle="warning" allowBlank="1" showInputMessage="1" showErrorMessage="1" errorTitle="Warning" error="Type does not exist in the library!" sqref="D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5">
      <formula1>"CAP,TF,IC,DCFEED"</formula1>
    </dataValidation>
    <dataValidation type="whole" allowBlank="1" showInputMessage="1" showErrorMessage="1" errorTitle="Warning" error="Value not in the range of -20 and 20!" sqref="G96">
      <formula1>-20</formula1>
      <formula2>20</formula2>
    </dataValidation>
    <dataValidation type="custom" allowBlank="1" showInputMessage="1" showErrorMessage="1" errorTitle="Warning" error="Reference does not exist!" sqref="H96">
      <formula1>COUNTIF($U$1:$U$116,H96)=1</formula1>
    </dataValidation>
    <dataValidation type="list" errorStyle="warning" allowBlank="1" showInputMessage="1" showErrorMessage="1" errorTitle="Warning" error="Type does not exist in the library!" sqref="D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6">
      <formula1>"CAP,TF,IC,DCFEED"</formula1>
    </dataValidation>
    <dataValidation type="whole" allowBlank="1" showInputMessage="1" showErrorMessage="1" errorTitle="Warning" error="Value not in the range of -20 and 20!" sqref="G97">
      <formula1>-20</formula1>
      <formula2>20</formula2>
    </dataValidation>
    <dataValidation type="custom" allowBlank="1" showInputMessage="1" showErrorMessage="1" errorTitle="Warning" error="Reference does not exist!" sqref="H97">
      <formula1>COUNTIF($U$1:$U$116,H97)=1</formula1>
    </dataValidation>
    <dataValidation type="list" errorStyle="warning" allowBlank="1" showInputMessage="1" showErrorMessage="1" errorTitle="Warning" error="Type does not exist in the library!" sqref="D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7">
      <formula1>"CAP,TF,IC,DCFEED"</formula1>
    </dataValidation>
    <dataValidation type="whole" allowBlank="1" showInputMessage="1" showErrorMessage="1" errorTitle="Warning" error="Value not in the range of -20 and 20!" sqref="G98">
      <formula1>-20</formula1>
      <formula2>20</formula2>
    </dataValidation>
    <dataValidation type="custom" allowBlank="1" showInputMessage="1" showErrorMessage="1" errorTitle="Warning" error="Reference does not exist!" sqref="H98">
      <formula1>COUNTIF($U$1:$U$116,H98)=1</formula1>
    </dataValidation>
    <dataValidation type="list" errorStyle="warning" allowBlank="1" showInputMessage="1" showErrorMessage="1" errorTitle="Warning" error="Type does not exist in the library!" sqref="D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8">
      <formula1>"CAP,TF,IC,DCFEED"</formula1>
    </dataValidation>
    <dataValidation type="whole" allowBlank="1" showInputMessage="1" showErrorMessage="1" errorTitle="Warning" error="Value not in the range of -20 and 20!" sqref="G99">
      <formula1>-20</formula1>
      <formula2>20</formula2>
    </dataValidation>
    <dataValidation type="custom" allowBlank="1" showInputMessage="1" showErrorMessage="1" errorTitle="Warning" error="Reference does not exist!" sqref="H99">
      <formula1>COUNTIF($U$1:$U$116,H99)=1</formula1>
    </dataValidation>
    <dataValidation type="list" errorStyle="warning" allowBlank="1" showInputMessage="1" showErrorMessage="1" errorTitle="Warning" error="Type does not exist in the library!" sqref="D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9">
      <formula1>"CAP,TF,IC,DCFEED"</formula1>
    </dataValidation>
    <dataValidation type="whole" allowBlank="1" showInputMessage="1" showErrorMessage="1" errorTitle="Warning" error="Value not in the range of -20 and 20!" sqref="G100">
      <formula1>-20</formula1>
      <formula2>20</formula2>
    </dataValidation>
    <dataValidation type="custom" allowBlank="1" showInputMessage="1" showErrorMessage="1" errorTitle="Warning" error="Reference does not exist!" sqref="H100">
      <formula1>COUNTIF($U$1:$U$116,H100)=1</formula1>
    </dataValidation>
    <dataValidation type="list" errorStyle="warning" allowBlank="1" showInputMessage="1" showErrorMessage="1" errorTitle="Warning" error="Type does not exist in the library!" sqref="D1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0">
      <formula1>"CAP,TF,IC,DCFEED"</formula1>
    </dataValidation>
    <dataValidation type="whole" allowBlank="1" showInputMessage="1" showErrorMessage="1" errorTitle="Warning" error="Value not in the range of -20 and 20!" sqref="G101">
      <formula1>-20</formula1>
      <formula2>20</formula2>
    </dataValidation>
    <dataValidation type="custom" allowBlank="1" showInputMessage="1" showErrorMessage="1" errorTitle="Warning" error="Reference does not exist!" sqref="H101">
      <formula1>COUNTIF($U$1:$U$116,H101)=1</formula1>
    </dataValidation>
    <dataValidation type="list" errorStyle="warning" allowBlank="1" showInputMessage="1" showErrorMessage="1" errorTitle="Warning" error="Type does not exist in the library!" sqref="D1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1">
      <formula1>"CAP,TF,IC,DCFEED"</formula1>
    </dataValidation>
    <dataValidation type="whole" allowBlank="1" showInputMessage="1" showErrorMessage="1" errorTitle="Warning" error="Value not in the range of -20 and 20!" sqref="G102">
      <formula1>-20</formula1>
      <formula2>20</formula2>
    </dataValidation>
    <dataValidation type="custom" allowBlank="1" showInputMessage="1" showErrorMessage="1" errorTitle="Warning" error="Reference does not exist!" sqref="H102">
      <formula1>COUNTIF($U$1:$U$116,H102)=1</formula1>
    </dataValidation>
    <dataValidation type="list" errorStyle="warning" allowBlank="1" showInputMessage="1" showErrorMessage="1" errorTitle="Warning" error="Type does not exist in the library!" sqref="D1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2">
      <formula1>"CAP,TF,IC,DCFEED"</formula1>
    </dataValidation>
    <dataValidation type="whole" allowBlank="1" showInputMessage="1" showErrorMessage="1" errorTitle="Warning" error="Value not in the range of -20 and 20!" sqref="G103">
      <formula1>-20</formula1>
      <formula2>20</formula2>
    </dataValidation>
    <dataValidation type="custom" allowBlank="1" showInputMessage="1" showErrorMessage="1" errorTitle="Warning" error="Reference does not exist!" sqref="H103">
      <formula1>COUNTIF($U$1:$U$116,H103)=1</formula1>
    </dataValidation>
    <dataValidation type="list" errorStyle="warning" allowBlank="1" showInputMessage="1" showErrorMessage="1" errorTitle="Warning" error="Type does not exist in the library!" sqref="D1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3">
      <formula1>"CAP,TF,IC,DCFEED"</formula1>
    </dataValidation>
    <dataValidation type="whole" allowBlank="1" showInputMessage="1" showErrorMessage="1" errorTitle="Warning" error="Value not in the range of -20 and 20!" sqref="G104">
      <formula1>-20</formula1>
      <formula2>20</formula2>
    </dataValidation>
    <dataValidation type="custom" allowBlank="1" showInputMessage="1" showErrorMessage="1" errorTitle="Warning" error="Reference does not exist!" sqref="H104">
      <formula1>COUNTIF($U$1:$U$116,H104)=1</formula1>
    </dataValidation>
    <dataValidation type="list" errorStyle="warning" allowBlank="1" showInputMessage="1" showErrorMessage="1" errorTitle="Warning" error="Type does not exist in the library!" sqref="D1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4">
      <formula1>"CAP,TF,IC,DCFEED"</formula1>
    </dataValidation>
    <dataValidation type="whole" allowBlank="1" showInputMessage="1" showErrorMessage="1" errorTitle="Warning" error="Value not in the range of -20 and 20!" sqref="G105">
      <formula1>-20</formula1>
      <formula2>20</formula2>
    </dataValidation>
    <dataValidation type="custom" allowBlank="1" showInputMessage="1" showErrorMessage="1" errorTitle="Warning" error="Reference does not exist!" sqref="H105">
      <formula1>COUNTIF($U$1:$U$116,H105)=1</formula1>
    </dataValidation>
    <dataValidation type="list" errorStyle="warning" allowBlank="1" showInputMessage="1" showErrorMessage="1" errorTitle="Warning" error="Type does not exist in the library!" sqref="D1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5">
      <formula1>"CAP,TF,IC,DCFEED"</formula1>
    </dataValidation>
    <dataValidation type="whole" allowBlank="1" showInputMessage="1" showErrorMessage="1" errorTitle="Warning" error="Value not in the range of -20 and 20!" sqref="G106">
      <formula1>-20</formula1>
      <formula2>20</formula2>
    </dataValidation>
    <dataValidation type="custom" allowBlank="1" showInputMessage="1" showErrorMessage="1" errorTitle="Warning" error="Reference does not exist!" sqref="H106">
      <formula1>COUNTIF($U$1:$U$116,H106)=1</formula1>
    </dataValidation>
    <dataValidation type="list" errorStyle="warning" allowBlank="1" showInputMessage="1" showErrorMessage="1" errorTitle="Warning" error="Type does not exist in the library!" sqref="D1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6">
      <formula1>"CAP,TF,IC,DCFEED"</formula1>
    </dataValidation>
    <dataValidation type="whole" allowBlank="1" showInputMessage="1" showErrorMessage="1" errorTitle="Warning" error="Value not in the range of -20 and 20!" sqref="G107">
      <formula1>-20</formula1>
      <formula2>20</formula2>
    </dataValidation>
    <dataValidation type="custom" allowBlank="1" showInputMessage="1" showErrorMessage="1" errorTitle="Warning" error="Reference does not exist!" sqref="H107">
      <formula1>COUNTIF($U$1:$U$116,H107)=1</formula1>
    </dataValidation>
    <dataValidation type="list" errorStyle="warning" allowBlank="1" showInputMessage="1" showErrorMessage="1" errorTitle="Warning" error="Type does not exist in the library!" sqref="D1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7">
      <formula1>"CAP,TF,IC,DCFEED"</formula1>
    </dataValidation>
    <dataValidation type="whole" allowBlank="1" showInputMessage="1" showErrorMessage="1" errorTitle="Warning" error="Value not in the range of -20 and 20!" sqref="G108">
      <formula1>-20</formula1>
      <formula2>20</formula2>
    </dataValidation>
    <dataValidation type="custom" allowBlank="1" showInputMessage="1" showErrorMessage="1" errorTitle="Warning" error="Reference does not exist!" sqref="H108">
      <formula1>COUNTIF($U$1:$U$116,H108)=1</formula1>
    </dataValidation>
    <dataValidation type="list" errorStyle="warning" allowBlank="1" showInputMessage="1" showErrorMessage="1" errorTitle="Warning" error="Type does not exist in the library!" sqref="D1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8">
      <formula1>"CAP,TF,IC,DCFEED"</formula1>
    </dataValidation>
    <dataValidation type="whole" allowBlank="1" showInputMessage="1" showErrorMessage="1" errorTitle="Warning" error="Value not in the range of -20 and 20!" sqref="G109">
      <formula1>-20</formula1>
      <formula2>20</formula2>
    </dataValidation>
    <dataValidation type="custom" allowBlank="1" showInputMessage="1" showErrorMessage="1" errorTitle="Warning" error="Reference does not exist!" sqref="H109">
      <formula1>COUNTIF($U$1:$U$116,H109)=1</formula1>
    </dataValidation>
    <dataValidation type="list" errorStyle="warning" allowBlank="1" showInputMessage="1" showErrorMessage="1" errorTitle="Warning" error="Type does not exist in the library!" sqref="D1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9">
      <formula1>"CAP,TF,IC,DCFEED"</formula1>
    </dataValidation>
    <dataValidation type="whole" allowBlank="1" showInputMessage="1" showErrorMessage="1" errorTitle="Warning" error="Value not in the range of -20 and 20!" sqref="G110">
      <formula1>-20</formula1>
      <formula2>20</formula2>
    </dataValidation>
    <dataValidation type="custom" allowBlank="1" showInputMessage="1" showErrorMessage="1" errorTitle="Warning" error="Reference number does not exist or Duplicates!" sqref="C110">
      <formula1>AND(COUNTIF($C$2:$C$233,C110)=1, COUNTIF($U$1:$U$116,C110)=1)</formula1>
    </dataValidation>
    <dataValidation type="list" errorStyle="warning" allowBlank="1" showInputMessage="1" showErrorMessage="1" errorTitle="Warning" error="Type does not exist in the library!" sqref="D1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0">
      <formula1>"CAP,TF,IC,DCFEED"</formula1>
    </dataValidation>
    <dataValidation type="whole" allowBlank="1" showInputMessage="1" showErrorMessage="1" errorTitle="Warning" error="Value not in the range of -20 and 20!" sqref="G111">
      <formula1>-20</formula1>
      <formula2>20</formula2>
    </dataValidation>
    <dataValidation type="custom" allowBlank="1" showInputMessage="1" showErrorMessage="1" errorTitle="Warning" error="Reference number does not exist or Duplicates!" sqref="C111">
      <formula1>AND(COUNTIF($C$2:$C$233,C111)=1, COUNTIF($U$1:$U$116,C111)=1)</formula1>
    </dataValidation>
    <dataValidation type="list" errorStyle="warning" allowBlank="1" showInputMessage="1" showErrorMessage="1" errorTitle="Warning" error="Type does not exist in the library!" sqref="D1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1">
      <formula1>"CAP,TF,IC,DCFEED"</formula1>
    </dataValidation>
    <dataValidation type="whole" allowBlank="1" showInputMessage="1" showErrorMessage="1" errorTitle="Warning" error="Value not in the range of -20 and 20!" sqref="G112">
      <formula1>-20</formula1>
      <formula2>20</formula2>
    </dataValidation>
    <dataValidation type="custom" allowBlank="1" showInputMessage="1" showErrorMessage="1" errorTitle="Warning" error="Reference number does not exist or Duplicates!" sqref="C112">
      <formula1>AND(COUNTIF($C$2:$C$233,C112)=1, COUNTIF($U$1:$U$116,C112)=1)</formula1>
    </dataValidation>
    <dataValidation type="list" errorStyle="warning" allowBlank="1" showInputMessage="1" showErrorMessage="1" errorTitle="Warning" error="Type does not exist in the library!" sqref="D1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2">
      <formula1>"CAP,TF,IC,DCFEED"</formula1>
    </dataValidation>
    <dataValidation type="whole" allowBlank="1" showInputMessage="1" showErrorMessage="1" errorTitle="Warning" error="Value not in the range of -20 and 20!" sqref="G113">
      <formula1>-20</formula1>
      <formula2>20</formula2>
    </dataValidation>
    <dataValidation type="custom" allowBlank="1" showInputMessage="1" showErrorMessage="1" errorTitle="Warning" error="Reference number does not exist or Duplicates!" sqref="C113">
      <formula1>AND(COUNTIF($C$2:$C$233,C113)=1, COUNTIF($U$1:$U$116,C113)=1)</formula1>
    </dataValidation>
    <dataValidation type="list" errorStyle="warning" allowBlank="1" showInputMessage="1" showErrorMessage="1" errorTitle="Warning" error="Type does not exist in the library!" sqref="D1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3">
      <formula1>"CAP,TF,IC,DCFEED"</formula1>
    </dataValidation>
    <dataValidation type="whole" allowBlank="1" showInputMessage="1" showErrorMessage="1" errorTitle="Warning" error="Value not in the range of -20 and 20!" sqref="G114">
      <formula1>-20</formula1>
      <formula2>20</formula2>
    </dataValidation>
    <dataValidation type="custom" allowBlank="1" showInputMessage="1" showErrorMessage="1" errorTitle="Warning" error="Reference number does not exist or Duplicates!" sqref="C114">
      <formula1>AND(COUNTIF($C$2:$C$233,C114)=1, COUNTIF($U$1:$U$116,C114)=1)</formula1>
    </dataValidation>
    <dataValidation type="list" errorStyle="warning" allowBlank="1" showInputMessage="1" showErrorMessage="1" errorTitle="Warning" error="Type does not exist in the library!" sqref="D1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4">
      <formula1>"CAP,TF,IC,DCFEED"</formula1>
    </dataValidation>
    <dataValidation type="whole" allowBlank="1" showInputMessage="1" showErrorMessage="1" errorTitle="Warning" error="Value not in the range of -20 and 20!" sqref="G115">
      <formula1>-20</formula1>
      <formula2>20</formula2>
    </dataValidation>
    <dataValidation type="custom" allowBlank="1" showInputMessage="1" showErrorMessage="1" errorTitle="Warning" error="Reference number does not exist or Duplicates!" sqref="C115">
      <formula1>AND(COUNTIF($C$2:$C$233,C115)=1, COUNTIF($U$1:$U$116,C115)=1)</formula1>
    </dataValidation>
    <dataValidation type="list" errorStyle="warning" allowBlank="1" showInputMessage="1" showErrorMessage="1" errorTitle="Warning" error="Type does not exist in the library!" sqref="D1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5">
      <formula1>"CAP,TF,IC,DCFEED"</formula1>
    </dataValidation>
    <dataValidation type="whole" allowBlank="1" showInputMessage="1" showErrorMessage="1" errorTitle="Warning" error="Value not in the range of -20 and 20!" sqref="G116">
      <formula1>-20</formula1>
      <formula2>20</formula2>
    </dataValidation>
    <dataValidation type="custom" allowBlank="1" showInputMessage="1" showErrorMessage="1" errorTitle="Warning" error="Reference number does not exist or Duplicates!" sqref="C116">
      <formula1>AND(COUNTIF($C$2:$C$233,C116)=1, COUNTIF($U$1:$U$116,C116)=1)</formula1>
    </dataValidation>
    <dataValidation type="list" errorStyle="warning" allowBlank="1" showInputMessage="1" showErrorMessage="1" errorTitle="Warning" error="Type does not exist in the library!" sqref="D1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6">
      <formula1>"CAP,TF,IC,DCFEED"</formula1>
    </dataValidation>
    <dataValidation type="whole" allowBlank="1" showInputMessage="1" showErrorMessage="1" errorTitle="Warning" error="Value not in the range of -20 and 20!" sqref="G117">
      <formula1>-20</formula1>
      <formula2>20</formula2>
    </dataValidation>
    <dataValidation type="custom" allowBlank="1" showInputMessage="1" showErrorMessage="1" errorTitle="Warning" error="Reference number does not exist or Duplicates!" sqref="C117">
      <formula1>AND(COUNTIF($C$2:$C$233,C117)=1, COUNTIF($U$1:$U$116,C117)=1)</formula1>
    </dataValidation>
    <dataValidation type="list" errorStyle="warning" allowBlank="1" showInputMessage="1" showErrorMessage="1" errorTitle="Warning" error="Type does not exist in the library!" sqref="D1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7">
      <formula1>"CAP,TF,IC,DCFEED"</formula1>
    </dataValidation>
    <dataValidation type="whole" allowBlank="1" showInputMessage="1" showErrorMessage="1" errorTitle="Warning" error="Value not in the range of -20 and 20!" sqref="G118">
      <formula1>-20</formula1>
      <formula2>20</formula2>
    </dataValidation>
    <dataValidation type="custom" allowBlank="1" showInputMessage="1" showErrorMessage="1" errorTitle="Warning" error="Reference number does not exist or Duplicates!" sqref="C118">
      <formula1>AND(COUNTIF($C$2:$C$233,C118)=1, COUNTIF($U$1:$U$116,C118)=1)</formula1>
    </dataValidation>
    <dataValidation type="list" errorStyle="warning" allowBlank="1" showInputMessage="1" showErrorMessage="1" errorTitle="Warning" error="Type does not exist in the library!" sqref="D1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8">
      <formula1>"CAP,TF,IC,DCFEED"</formula1>
    </dataValidation>
    <dataValidation type="whole" allowBlank="1" showInputMessage="1" showErrorMessage="1" errorTitle="Warning" error="Value not in the range of -20 and 20!" sqref="G119">
      <formula1>-20</formula1>
      <formula2>20</formula2>
    </dataValidation>
    <dataValidation type="custom" allowBlank="1" showInputMessage="1" showErrorMessage="1" errorTitle="Warning" error="Reference number does not exist or Duplicates!" sqref="C119">
      <formula1>AND(COUNTIF($C$2:$C$233,C119)=1, COUNTIF($U$1:$U$116,C119)=1)</formula1>
    </dataValidation>
    <dataValidation type="list" errorStyle="warning" allowBlank="1" showInputMessage="1" showErrorMessage="1" errorTitle="Warning" error="Type does not exist in the library!" sqref="D1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9">
      <formula1>"CAP,TF,IC,DCFEED"</formula1>
    </dataValidation>
    <dataValidation type="whole" allowBlank="1" showInputMessage="1" showErrorMessage="1" errorTitle="Warning" error="Value not in the range of -20 and 20!" sqref="G120">
      <formula1>-20</formula1>
      <formula2>20</formula2>
    </dataValidation>
    <dataValidation type="custom" allowBlank="1" showInputMessage="1" showErrorMessage="1" errorTitle="Warning" error="Reference number does not exist or Duplicates!" sqref="C120">
      <formula1>AND(COUNTIF($C$2:$C$233,C120)=1, COUNTIF($U$1:$U$116,C120)=1)</formula1>
    </dataValidation>
    <dataValidation type="list" errorStyle="warning" allowBlank="1" showInputMessage="1" showErrorMessage="1" errorTitle="Warning" error="Type does not exist in the library!" sqref="D1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0">
      <formula1>"CAP,TF,IC,DCFEED"</formula1>
    </dataValidation>
    <dataValidation type="whole" allowBlank="1" showInputMessage="1" showErrorMessage="1" errorTitle="Warning" error="Value not in the range of -20 and 20!" sqref="G121">
      <formula1>-20</formula1>
      <formula2>20</formula2>
    </dataValidation>
    <dataValidation type="custom" allowBlank="1" showInputMessage="1" showErrorMessage="1" errorTitle="Warning" error="Reference number does not exist or Duplicates!" sqref="C121">
      <formula1>AND(COUNTIF($C$2:$C$233,C121)=1, COUNTIF($U$1:$U$116,C121)=1)</formula1>
    </dataValidation>
    <dataValidation type="list" errorStyle="warning" allowBlank="1" showInputMessage="1" showErrorMessage="1" errorTitle="Warning" error="Type does not exist in the library!" sqref="D1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1">
      <formula1>"CAP,TF,IC,DCFEED"</formula1>
    </dataValidation>
    <dataValidation type="whole" allowBlank="1" showInputMessage="1" showErrorMessage="1" errorTitle="Warning" error="Value not in the range of -20 and 20!" sqref="G122">
      <formula1>-20</formula1>
      <formula2>20</formula2>
    </dataValidation>
    <dataValidation type="custom" allowBlank="1" showInputMessage="1" showErrorMessage="1" errorTitle="Warning" error="Reference number does not exist or Duplicates!" sqref="C122">
      <formula1>AND(COUNTIF($C$2:$C$233,C122)=1, COUNTIF($U$1:$U$116,C122)=1)</formula1>
    </dataValidation>
    <dataValidation type="list" errorStyle="warning" allowBlank="1" showInputMessage="1" showErrorMessage="1" errorTitle="Warning" error="Type does not exist in the library!" sqref="D1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2">
      <formula1>"CAP,TF,IC,DCFEED"</formula1>
    </dataValidation>
    <dataValidation type="whole" allowBlank="1" showInputMessage="1" showErrorMessage="1" errorTitle="Warning" error="Value not in the range of -20 and 20!" sqref="G123">
      <formula1>-20</formula1>
      <formula2>20</formula2>
    </dataValidation>
    <dataValidation type="custom" allowBlank="1" showInputMessage="1" showErrorMessage="1" errorTitle="Warning" error="Reference number does not exist or Duplicates!" sqref="C123">
      <formula1>AND(COUNTIF($C$2:$C$233,C123)=1, COUNTIF($U$1:$U$116,C123)=1)</formula1>
    </dataValidation>
    <dataValidation type="list" errorStyle="warning" allowBlank="1" showInputMessage="1" showErrorMessage="1" errorTitle="Warning" error="Type does not exist in the library!" sqref="D1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3">
      <formula1>"CAP,TF,IC,DCFEED"</formula1>
    </dataValidation>
    <dataValidation type="whole" allowBlank="1" showInputMessage="1" showErrorMessage="1" errorTitle="Warning" error="Value not in the range of -20 and 20!" sqref="G124">
      <formula1>-20</formula1>
      <formula2>20</formula2>
    </dataValidation>
    <dataValidation type="custom" allowBlank="1" showInputMessage="1" showErrorMessage="1" errorTitle="Warning" error="Reference number does not exist or Duplicates!" sqref="C124">
      <formula1>AND(COUNTIF($C$2:$C$233,C124)=1, COUNTIF($U$1:$U$116,C124)=1)</formula1>
    </dataValidation>
    <dataValidation type="list" errorStyle="warning" allowBlank="1" showInputMessage="1" showErrorMessage="1" errorTitle="Warning" error="Type does not exist in the library!" sqref="D1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4">
      <formula1>"CAP,TF,IC,DCFEED"</formula1>
    </dataValidation>
    <dataValidation type="whole" allowBlank="1" showInputMessage="1" showErrorMessage="1" errorTitle="Warning" error="Value not in the range of -20 and 20!" sqref="G125">
      <formula1>-20</formula1>
      <formula2>20</formula2>
    </dataValidation>
    <dataValidation type="custom" allowBlank="1" showInputMessage="1" showErrorMessage="1" errorTitle="Warning" error="Reference number does not exist or Duplicates!" sqref="C125">
      <formula1>AND(COUNTIF($C$2:$C$233,C125)=1, COUNTIF($U$1:$U$116,C125)=1)</formula1>
    </dataValidation>
    <dataValidation type="list" errorStyle="warning" allowBlank="1" showInputMessage="1" showErrorMessage="1" errorTitle="Warning" error="Type does not exist in the library!" sqref="D1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5">
      <formula1>"CAP,TF,IC,DCFEED"</formula1>
    </dataValidation>
    <dataValidation type="whole" allowBlank="1" showInputMessage="1" showErrorMessage="1" errorTitle="Warning" error="Value not in the range of -20 and 20!" sqref="G126">
      <formula1>-20</formula1>
      <formula2>20</formula2>
    </dataValidation>
    <dataValidation type="custom" allowBlank="1" showInputMessage="1" showErrorMessage="1" errorTitle="Warning" error="Reference number does not exist or Duplicates!" sqref="C126">
      <formula1>AND(COUNTIF($C$2:$C$233,C126)=1, COUNTIF($U$1:$U$116,C126)=1)</formula1>
    </dataValidation>
    <dataValidation type="list" errorStyle="warning" allowBlank="1" showInputMessage="1" showErrorMessage="1" errorTitle="Warning" error="Type does not exist in the library!" sqref="D1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6">
      <formula1>"CAP,TF,IC,DCFEED"</formula1>
    </dataValidation>
    <dataValidation type="whole" allowBlank="1" showInputMessage="1" showErrorMessage="1" errorTitle="Warning" error="Value not in the range of -20 and 20!" sqref="G127">
      <formula1>-20</formula1>
      <formula2>20</formula2>
    </dataValidation>
    <dataValidation type="custom" allowBlank="1" showInputMessage="1" showErrorMessage="1" errorTitle="Warning" error="Reference number does not exist or Duplicates!" sqref="C127">
      <formula1>AND(COUNTIF($C$2:$C$233,C127)=1, COUNTIF($U$1:$U$116,C127)=1)</formula1>
    </dataValidation>
    <dataValidation type="list" errorStyle="warning" allowBlank="1" showInputMessage="1" showErrorMessage="1" errorTitle="Warning" error="Type does not exist in the library!" sqref="D1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7">
      <formula1>"CAP,TF,IC,DCFEED"</formula1>
    </dataValidation>
    <dataValidation type="whole" allowBlank="1" showInputMessage="1" showErrorMessage="1" errorTitle="Warning" error="Value not in the range of -20 and 20!" sqref="G128">
      <formula1>-20</formula1>
      <formula2>20</formula2>
    </dataValidation>
    <dataValidation type="custom" allowBlank="1" showInputMessage="1" showErrorMessage="1" errorTitle="Warning" error="Reference number does not exist or Duplicates!" sqref="C128">
      <formula1>AND(COUNTIF($C$2:$C$233,C128)=1, COUNTIF($U$1:$U$116,C128)=1)</formula1>
    </dataValidation>
    <dataValidation type="list" errorStyle="warning" allowBlank="1" showInputMessage="1" showErrorMessage="1" errorTitle="Warning" error="Type does not exist in the library!" sqref="D1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8">
      <formula1>"CAP,TF,IC,DCFEED"</formula1>
    </dataValidation>
    <dataValidation type="whole" allowBlank="1" showInputMessage="1" showErrorMessage="1" errorTitle="Warning" error="Value not in the range of -20 and 20!" sqref="G129">
      <formula1>-20</formula1>
      <formula2>20</formula2>
    </dataValidation>
    <dataValidation type="custom" allowBlank="1" showInputMessage="1" showErrorMessage="1" errorTitle="Warning" error="Reference number does not exist or Duplicates!" sqref="C129">
      <formula1>AND(COUNTIF($C$2:$C$233,C129)=1, COUNTIF($U$1:$U$116,C129)=1)</formula1>
    </dataValidation>
    <dataValidation type="list" errorStyle="warning" allowBlank="1" showInputMessage="1" showErrorMessage="1" errorTitle="Warning" error="Type does not exist in the library!" sqref="D1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9">
      <formula1>"CAP,TF,IC,DCFEED"</formula1>
    </dataValidation>
    <dataValidation type="whole" allowBlank="1" showInputMessage="1" showErrorMessage="1" errorTitle="Warning" error="Value not in the range of -20 and 20!" sqref="G130">
      <formula1>-20</formula1>
      <formula2>20</formula2>
    </dataValidation>
    <dataValidation type="custom" allowBlank="1" showInputMessage="1" showErrorMessage="1" errorTitle="Warning" error="Reference number does not exist or Duplicates!" sqref="C130">
      <formula1>AND(COUNTIF($C$2:$C$233,C130)=1, COUNTIF($U$1:$U$116,C130)=1)</formula1>
    </dataValidation>
    <dataValidation type="list" errorStyle="warning" allowBlank="1" showInputMessage="1" showErrorMessage="1" errorTitle="Warning" error="Type does not exist in the library!" sqref="D1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0">
      <formula1>"CAP,TF,IC,DCFEED"</formula1>
    </dataValidation>
    <dataValidation type="whole" allowBlank="1" showInputMessage="1" showErrorMessage="1" errorTitle="Warning" error="Value not in the range of -20 and 20!" sqref="G131">
      <formula1>-20</formula1>
      <formula2>20</formula2>
    </dataValidation>
    <dataValidation type="custom" allowBlank="1" showInputMessage="1" showErrorMessage="1" errorTitle="Warning" error="Reference number does not exist or Duplicates!" sqref="C131">
      <formula1>AND(COUNTIF($C$2:$C$233,C131)=1, COUNTIF($U$1:$U$116,C131)=1)</formula1>
    </dataValidation>
    <dataValidation type="list" errorStyle="warning" allowBlank="1" showInputMessage="1" showErrorMessage="1" errorTitle="Warning" error="Type does not exist in the library!" sqref="D1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1">
      <formula1>"CAP,TF,IC,DCFEED"</formula1>
    </dataValidation>
    <dataValidation type="whole" allowBlank="1" showInputMessage="1" showErrorMessage="1" errorTitle="Warning" error="Value not in the range of -20 and 20!" sqref="G132">
      <formula1>-20</formula1>
      <formula2>20</formula2>
    </dataValidation>
    <dataValidation type="custom" allowBlank="1" showInputMessage="1" showErrorMessage="1" errorTitle="Warning" error="Reference number does not exist or Duplicates!" sqref="C132">
      <formula1>AND(COUNTIF($C$2:$C$233,C132)=1, COUNTIF($U$1:$U$116,C132)=1)</formula1>
    </dataValidation>
    <dataValidation type="list" errorStyle="warning" allowBlank="1" showInputMessage="1" showErrorMessage="1" errorTitle="Warning" error="Type does not exist in the library!" sqref="D1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2">
      <formula1>"CAP,TF,IC,DCFEED"</formula1>
    </dataValidation>
    <dataValidation type="whole" allowBlank="1" showInputMessage="1" showErrorMessage="1" errorTitle="Warning" error="Value not in the range of -20 and 20!" sqref="G133">
      <formula1>-20</formula1>
      <formula2>20</formula2>
    </dataValidation>
    <dataValidation type="custom" allowBlank="1" showInputMessage="1" showErrorMessage="1" errorTitle="Warning" error="Reference number does not exist or Duplicates!" sqref="C133">
      <formula1>AND(COUNTIF($C$2:$C$233,C133)=1, COUNTIF($U$1:$U$116,C133)=1)</formula1>
    </dataValidation>
    <dataValidation type="list" errorStyle="warning" allowBlank="1" showInputMessage="1" showErrorMessage="1" errorTitle="Warning" error="Type does not exist in the library!" sqref="D1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3">
      <formula1>"CAP,TF,IC,DCFEED"</formula1>
    </dataValidation>
    <dataValidation type="whole" allowBlank="1" showInputMessage="1" showErrorMessage="1" errorTitle="Warning" error="Value not in the range of -20 and 20!" sqref="G134">
      <formula1>-20</formula1>
      <formula2>20</formula2>
    </dataValidation>
    <dataValidation type="custom" allowBlank="1" showInputMessage="1" showErrorMessage="1" errorTitle="Warning" error="Reference number does not exist or Duplicates!" sqref="C134">
      <formula1>AND(COUNTIF($C$2:$C$233,C134)=1, COUNTIF($U$1:$U$116,C134)=1)</formula1>
    </dataValidation>
    <dataValidation type="list" errorStyle="warning" allowBlank="1" showInputMessage="1" showErrorMessage="1" errorTitle="Warning" error="Type does not exist in the library!" sqref="D1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4">
      <formula1>"CAP,TF,IC,DCFEED"</formula1>
    </dataValidation>
    <dataValidation type="whole" allowBlank="1" showInputMessage="1" showErrorMessage="1" errorTitle="Warning" error="Value not in the range of -20 and 20!" sqref="G135">
      <formula1>-20</formula1>
      <formula2>20</formula2>
    </dataValidation>
    <dataValidation type="custom" allowBlank="1" showInputMessage="1" showErrorMessage="1" errorTitle="Warning" error="Reference number does not exist or Duplicates!" sqref="C135">
      <formula1>AND(COUNTIF($C$2:$C$233,C135)=1, COUNTIF($U$1:$U$116,C135)=1)</formula1>
    </dataValidation>
    <dataValidation type="list" errorStyle="warning" allowBlank="1" showInputMessage="1" showErrorMessage="1" errorTitle="Warning" error="Type does not exist in the library!" sqref="D1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5">
      <formula1>"CAP,TF,IC,DCFEED"</formula1>
    </dataValidation>
    <dataValidation type="whole" allowBlank="1" showInputMessage="1" showErrorMessage="1" errorTitle="Warning" error="Value not in the range of -20 and 20!" sqref="G136">
      <formula1>-20</formula1>
      <formula2>20</formula2>
    </dataValidation>
    <dataValidation type="custom" allowBlank="1" showInputMessage="1" showErrorMessage="1" errorTitle="Warning" error="Reference number does not exist or Duplicates!" sqref="C136">
      <formula1>AND(COUNTIF($C$2:$C$233,C136)=1, COUNTIF($U$1:$U$116,C136)=1)</formula1>
    </dataValidation>
    <dataValidation type="list" errorStyle="warning" allowBlank="1" showInputMessage="1" showErrorMessage="1" errorTitle="Warning" error="Type does not exist in the library!" sqref="D1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6">
      <formula1>"CAP,TF,IC,DCFEED"</formula1>
    </dataValidation>
    <dataValidation type="whole" allowBlank="1" showInputMessage="1" showErrorMessage="1" errorTitle="Warning" error="Value not in the range of -20 and 20!" sqref="G137">
      <formula1>-20</formula1>
      <formula2>20</formula2>
    </dataValidation>
    <dataValidation type="custom" allowBlank="1" showInputMessage="1" showErrorMessage="1" errorTitle="Warning" error="Reference number does not exist or Duplicates!" sqref="C137">
      <formula1>AND(COUNTIF($C$2:$C$233,C137)=1, COUNTIF($U$1:$U$116,C137)=1)</formula1>
    </dataValidation>
    <dataValidation type="list" errorStyle="warning" allowBlank="1" showInputMessage="1" showErrorMessage="1" errorTitle="Warning" error="Type does not exist in the library!" sqref="D1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7">
      <formula1>"CAP,TF,IC,DCFEED"</formula1>
    </dataValidation>
    <dataValidation type="whole" allowBlank="1" showInputMessage="1" showErrorMessage="1" errorTitle="Warning" error="Value not in the range of -20 and 20!" sqref="G138">
      <formula1>-20</formula1>
      <formula2>20</formula2>
    </dataValidation>
    <dataValidation type="custom" allowBlank="1" showInputMessage="1" showErrorMessage="1" errorTitle="Warning" error="Reference number does not exist or Duplicates!" sqref="C138">
      <formula1>AND(COUNTIF($C$2:$C$233,C138)=1, COUNTIF($U$1:$U$116,C138)=1)</formula1>
    </dataValidation>
    <dataValidation type="list" errorStyle="warning" allowBlank="1" showInputMessage="1" showErrorMessage="1" errorTitle="Warning" error="Type does not exist in the library!" sqref="D1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8">
      <formula1>"CAP,TF,IC,DCFEED"</formula1>
    </dataValidation>
    <dataValidation type="whole" allowBlank="1" showInputMessage="1" showErrorMessage="1" errorTitle="Warning" error="Value not in the range of -20 and 20!" sqref="G139">
      <formula1>-20</formula1>
      <formula2>20</formula2>
    </dataValidation>
    <dataValidation type="custom" allowBlank="1" showInputMessage="1" showErrorMessage="1" errorTitle="Warning" error="Reference number does not exist or Duplicates!" sqref="C139">
      <formula1>AND(COUNTIF($C$2:$C$233,C139)=1, COUNTIF($U$1:$U$116,C139)=1)</formula1>
    </dataValidation>
    <dataValidation type="list" errorStyle="warning" allowBlank="1" showInputMessage="1" showErrorMessage="1" errorTitle="Warning" error="Type does not exist in the library!" sqref="D1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9">
      <formula1>"CAP,TF,IC,DCFEED"</formula1>
    </dataValidation>
    <dataValidation type="whole" allowBlank="1" showInputMessage="1" showErrorMessage="1" errorTitle="Warning" error="Value not in the range of -20 and 20!" sqref="G140">
      <formula1>-20</formula1>
      <formula2>20</formula2>
    </dataValidation>
    <dataValidation type="custom" allowBlank="1" showInputMessage="1" showErrorMessage="1" errorTitle="Warning" error="Reference number does not exist or Duplicates!" sqref="C140">
      <formula1>AND(COUNTIF($C$2:$C$233,C140)=1, COUNTIF($U$1:$U$116,C140)=1)</formula1>
    </dataValidation>
    <dataValidation type="list" errorStyle="warning" allowBlank="1" showInputMessage="1" showErrorMessage="1" errorTitle="Warning" error="Type does not exist in the library!" sqref="D1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0">
      <formula1>"CAP,TF,IC,DCFEED"</formula1>
    </dataValidation>
    <dataValidation type="whole" allowBlank="1" showInputMessage="1" showErrorMessage="1" errorTitle="Warning" error="Value not in the range of -20 and 20!" sqref="G141">
      <formula1>-20</formula1>
      <formula2>20</formula2>
    </dataValidation>
    <dataValidation type="custom" allowBlank="1" showInputMessage="1" showErrorMessage="1" errorTitle="Warning" error="Reference number does not exist or Duplicates!" sqref="C141">
      <formula1>AND(COUNTIF($C$2:$C$233,C141)=1, COUNTIF($U$1:$U$116,C141)=1)</formula1>
    </dataValidation>
    <dataValidation type="list" errorStyle="warning" allowBlank="1" showInputMessage="1" showErrorMessage="1" errorTitle="Warning" error="Type does not exist in the library!" sqref="D1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1">
      <formula1>"CAP,TF,IC,DCFEED"</formula1>
    </dataValidation>
    <dataValidation type="whole" allowBlank="1" showInputMessage="1" showErrorMessage="1" errorTitle="Warning" error="Value not in the range of -20 and 20!" sqref="G142">
      <formula1>-20</formula1>
      <formula2>20</formula2>
    </dataValidation>
    <dataValidation type="custom" allowBlank="1" showInputMessage="1" showErrorMessage="1" errorTitle="Warning" error="Reference number does not exist or Duplicates!" sqref="C142">
      <formula1>AND(COUNTIF($C$2:$C$233,C142)=1, COUNTIF($U$1:$U$116,C142)=1)</formula1>
    </dataValidation>
    <dataValidation type="list" errorStyle="warning" allowBlank="1" showInputMessage="1" showErrorMessage="1" errorTitle="Warning" error="Type does not exist in the library!" sqref="D1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2">
      <formula1>"CAP,TF,IC,DCFEED"</formula1>
    </dataValidation>
    <dataValidation type="whole" allowBlank="1" showInputMessage="1" showErrorMessage="1" errorTitle="Warning" error="Value not in the range of -20 and 20!" sqref="G143">
      <formula1>-20</formula1>
      <formula2>20</formula2>
    </dataValidation>
    <dataValidation type="custom" allowBlank="1" showInputMessage="1" showErrorMessage="1" errorTitle="Warning" error="Reference does not exist!" sqref="H143">
      <formula1>COUNTIF($U$1:$U$116,H143)=1</formula1>
    </dataValidation>
    <dataValidation type="list" errorStyle="warning" allowBlank="1" showInputMessage="1" showErrorMessage="1" errorTitle="Warning" error="Type does not exist in the library!" sqref="D1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3">
      <formula1>"CAP,TF,IC,DCFEED"</formula1>
    </dataValidation>
    <dataValidation type="whole" allowBlank="1" showInputMessage="1" showErrorMessage="1" errorTitle="Warning" error="Value not in the range of -20 and 20!" sqref="G144">
      <formula1>-20</formula1>
      <formula2>20</formula2>
    </dataValidation>
    <dataValidation type="custom" allowBlank="1" showInputMessage="1" showErrorMessage="1" errorTitle="Warning" error="Reference does not exist!" sqref="H144">
      <formula1>COUNTIF($U$1:$U$116,H144)=1</formula1>
    </dataValidation>
    <dataValidation type="list" errorStyle="warning" allowBlank="1" showInputMessage="1" showErrorMessage="1" errorTitle="Warning" error="Type does not exist in the library!" sqref="D1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4">
      <formula1>"CAP,TF,IC,DCFEED"</formula1>
    </dataValidation>
    <dataValidation type="whole" allowBlank="1" showInputMessage="1" showErrorMessage="1" errorTitle="Warning" error="Value not in the range of -20 and 20!" sqref="G145">
      <formula1>-20</formula1>
      <formula2>20</formula2>
    </dataValidation>
    <dataValidation type="custom" allowBlank="1" showInputMessage="1" showErrorMessage="1" errorTitle="Warning" error="Reference does not exist!" sqref="H145">
      <formula1>COUNTIF($U$1:$U$116,H145)=1</formula1>
    </dataValidation>
    <dataValidation type="list" errorStyle="warning" allowBlank="1" showInputMessage="1" showErrorMessage="1" errorTitle="Warning" error="Type does not exist in the library!" sqref="D1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5">
      <formula1>"CAP,TF,IC,DCFEED"</formula1>
    </dataValidation>
    <dataValidation type="whole" allowBlank="1" showInputMessage="1" showErrorMessage="1" errorTitle="Warning" error="Value not in the range of -20 and 20!" sqref="G146">
      <formula1>-20</formula1>
      <formula2>20</formula2>
    </dataValidation>
    <dataValidation type="custom" allowBlank="1" showInputMessage="1" showErrorMessage="1" errorTitle="Warning" error="Reference does not exist!" sqref="H146">
      <formula1>COUNTIF($U$1:$U$116,H146)=1</formula1>
    </dataValidation>
    <dataValidation type="list" errorStyle="warning" allowBlank="1" showInputMessage="1" showErrorMessage="1" errorTitle="Warning" error="Type does not exist in the library!" sqref="D1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6">
      <formula1>"CAP,TF,IC,DCFEED"</formula1>
    </dataValidation>
    <dataValidation type="whole" allowBlank="1" showInputMessage="1" showErrorMessage="1" errorTitle="Warning" error="Value not in the range of -20 and 20!" sqref="G147">
      <formula1>-20</formula1>
      <formula2>20</formula2>
    </dataValidation>
    <dataValidation type="custom" allowBlank="1" showInputMessage="1" showErrorMessage="1" errorTitle="Warning" error="Reference does not exist!" sqref="H147">
      <formula1>COUNTIF($U$1:$U$116,H147)=1</formula1>
    </dataValidation>
    <dataValidation type="list" errorStyle="warning" allowBlank="1" showInputMessage="1" showErrorMessage="1" errorTitle="Warning" error="Type does not exist in the library!" sqref="D1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7">
      <formula1>"CAP,TF,IC,DCFEED"</formula1>
    </dataValidation>
    <dataValidation type="whole" allowBlank="1" showInputMessage="1" showErrorMessage="1" errorTitle="Warning" error="Value not in the range of -20 and 20!" sqref="G148">
      <formula1>-20</formula1>
      <formula2>20</formula2>
    </dataValidation>
    <dataValidation type="custom" allowBlank="1" showInputMessage="1" showErrorMessage="1" errorTitle="Warning" error="Reference does not exist!" sqref="H148">
      <formula1>COUNTIF($U$1:$U$116,H148)=1</formula1>
    </dataValidation>
    <dataValidation type="list" errorStyle="warning" allowBlank="1" showInputMessage="1" showErrorMessage="1" errorTitle="Warning" error="Type does not exist in the library!" sqref="D1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8">
      <formula1>"CAP,TF,IC,DCFEED"</formula1>
    </dataValidation>
    <dataValidation type="whole" allowBlank="1" showInputMessage="1" showErrorMessage="1" errorTitle="Warning" error="Value not in the range of -20 and 20!" sqref="G149">
      <formula1>-20</formula1>
      <formula2>20</formula2>
    </dataValidation>
    <dataValidation type="custom" allowBlank="1" showInputMessage="1" showErrorMessage="1" errorTitle="Warning" error="Reference does not exist!" sqref="H149">
      <formula1>COUNTIF($U$1:$U$116,H149)=1</formula1>
    </dataValidation>
    <dataValidation type="list" errorStyle="warning" allowBlank="1" showInputMessage="1" showErrorMessage="1" errorTitle="Warning" error="Type does not exist in the library!" sqref="D1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9">
      <formula1>"CAP,TF,IC,DCFEED"</formula1>
    </dataValidation>
    <dataValidation type="whole" allowBlank="1" showInputMessage="1" showErrorMessage="1" errorTitle="Warning" error="Value not in the range of -20 and 20!" sqref="G150">
      <formula1>-20</formula1>
      <formula2>20</formula2>
    </dataValidation>
    <dataValidation type="custom" allowBlank="1" showInputMessage="1" showErrorMessage="1" errorTitle="Warning" error="Reference does not exist!" sqref="H150">
      <formula1>COUNTIF($U$1:$U$116,H150)=1</formula1>
    </dataValidation>
    <dataValidation type="list" errorStyle="warning" allowBlank="1" showInputMessage="1" showErrorMessage="1" errorTitle="Warning" error="Type does not exist in the library!" sqref="D1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0">
      <formula1>"CAP,TF,IC,DCFEED"</formula1>
    </dataValidation>
    <dataValidation type="whole" allowBlank="1" showInputMessage="1" showErrorMessage="1" errorTitle="Warning" error="Value not in the range of -20 and 20!" sqref="G151">
      <formula1>-20</formula1>
      <formula2>20</formula2>
    </dataValidation>
    <dataValidation type="custom" allowBlank="1" showInputMessage="1" showErrorMessage="1" errorTitle="Warning" error="Reference does not exist!" sqref="H151">
      <formula1>COUNTIF($U$1:$U$116,H151)=1</formula1>
    </dataValidation>
    <dataValidation type="list" errorStyle="warning" allowBlank="1" showInputMessage="1" showErrorMessage="1" errorTitle="Warning" error="Type does not exist in the library!" sqref="D1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1">
      <formula1>"CAP,TF,IC,DCFEED"</formula1>
    </dataValidation>
    <dataValidation type="whole" allowBlank="1" showInputMessage="1" showErrorMessage="1" errorTitle="Warning" error="Value not in the range of -20 and 20!" sqref="G152">
      <formula1>-20</formula1>
      <formula2>20</formula2>
    </dataValidation>
    <dataValidation type="custom" allowBlank="1" showInputMessage="1" showErrorMessage="1" errorTitle="Warning" error="Reference does not exist!" sqref="H152">
      <formula1>COUNTIF($U$1:$U$116,H152)=1</formula1>
    </dataValidation>
    <dataValidation type="list" errorStyle="warning" allowBlank="1" showInputMessage="1" showErrorMessage="1" errorTitle="Warning" error="Type does not exist in the library!" sqref="D1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2">
      <formula1>"CAP,TF,IC,DCFEED"</formula1>
    </dataValidation>
    <dataValidation type="whole" allowBlank="1" showInputMessage="1" showErrorMessage="1" errorTitle="Warning" error="Value not in the range of -20 and 20!" sqref="G153">
      <formula1>-20</formula1>
      <formula2>20</formula2>
    </dataValidation>
    <dataValidation type="custom" allowBlank="1" showInputMessage="1" showErrorMessage="1" errorTitle="Warning" error="Reference does not exist!" sqref="H153">
      <formula1>COUNTIF($U$1:$U$116,H153)=1</formula1>
    </dataValidation>
    <dataValidation type="list" errorStyle="warning" allowBlank="1" showInputMessage="1" showErrorMessage="1" errorTitle="Warning" error="Type does not exist in the library!" sqref="D1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3">
      <formula1>"CAP,TF,IC,DCFEED"</formula1>
    </dataValidation>
    <dataValidation type="whole" allowBlank="1" showInputMessage="1" showErrorMessage="1" errorTitle="Warning" error="Value not in the range of -20 and 20!" sqref="G154">
      <formula1>-20</formula1>
      <formula2>20</formula2>
    </dataValidation>
    <dataValidation type="custom" allowBlank="1" showInputMessage="1" showErrorMessage="1" errorTitle="Warning" error="Reference does not exist!" sqref="H154">
      <formula1>COUNTIF($U$1:$U$116,H154)=1</formula1>
    </dataValidation>
    <dataValidation type="list" errorStyle="warning" allowBlank="1" showInputMessage="1" showErrorMessage="1" errorTitle="Warning" error="Type does not exist in the library!" sqref="D1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4">
      <formula1>"CAP,TF,IC,DCFEED"</formula1>
    </dataValidation>
    <dataValidation type="whole" allowBlank="1" showInputMessage="1" showErrorMessage="1" errorTitle="Warning" error="Value not in the range of -20 and 20!" sqref="G155">
      <formula1>-20</formula1>
      <formula2>20</formula2>
    </dataValidation>
    <dataValidation type="custom" allowBlank="1" showInputMessage="1" showErrorMessage="1" errorTitle="Warning" error="Reference does not exist!" sqref="H155">
      <formula1>COUNTIF($U$1:$U$116,H155)=1</formula1>
    </dataValidation>
    <dataValidation type="list" errorStyle="warning" allowBlank="1" showInputMessage="1" showErrorMessage="1" errorTitle="Warning" error="Type does not exist in the library!" sqref="D1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5">
      <formula1>"CAP,TF,IC,DCFEED"</formula1>
    </dataValidation>
    <dataValidation type="whole" allowBlank="1" showInputMessage="1" showErrorMessage="1" errorTitle="Warning" error="Value not in the range of -20 and 20!" sqref="G156">
      <formula1>-20</formula1>
      <formula2>20</formula2>
    </dataValidation>
    <dataValidation type="custom" allowBlank="1" showInputMessage="1" showErrorMessage="1" errorTitle="Warning" error="Reference does not exist!" sqref="H156">
      <formula1>COUNTIF($U$1:$U$116,H156)=1</formula1>
    </dataValidation>
    <dataValidation type="list" errorStyle="warning" allowBlank="1" showInputMessage="1" showErrorMessage="1" errorTitle="Warning" error="Type does not exist in the library!" sqref="D1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6">
      <formula1>"CAP,TF,IC,DCFEED"</formula1>
    </dataValidation>
    <dataValidation type="whole" allowBlank="1" showInputMessage="1" showErrorMessage="1" errorTitle="Warning" error="Value not in the range of -20 and 20!" sqref="G157">
      <formula1>-20</formula1>
      <formula2>20</formula2>
    </dataValidation>
    <dataValidation type="custom" allowBlank="1" showInputMessage="1" showErrorMessage="1" errorTitle="Warning" error="Reference does not exist!" sqref="H157">
      <formula1>COUNTIF($U$1:$U$116,H157)=1</formula1>
    </dataValidation>
    <dataValidation type="list" errorStyle="warning" allowBlank="1" showInputMessage="1" showErrorMessage="1" errorTitle="Warning" error="Type does not exist in the library!" sqref="D1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7">
      <formula1>"CAP,TF,IC,DCFEED"</formula1>
    </dataValidation>
    <dataValidation type="whole" allowBlank="1" showInputMessage="1" showErrorMessage="1" errorTitle="Warning" error="Value not in the range of -20 and 20!" sqref="G158">
      <formula1>-20</formula1>
      <formula2>20</formula2>
    </dataValidation>
    <dataValidation type="custom" allowBlank="1" showInputMessage="1" showErrorMessage="1" errorTitle="Warning" error="Reference does not exist!" sqref="H158">
      <formula1>COUNTIF($U$1:$U$116,H158)=1</formula1>
    </dataValidation>
    <dataValidation type="list" errorStyle="warning" allowBlank="1" showInputMessage="1" showErrorMessage="1" errorTitle="Warning" error="Type does not exist in the library!" sqref="D1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8">
      <formula1>"CAP,TF,IC,DCFEED"</formula1>
    </dataValidation>
    <dataValidation type="whole" allowBlank="1" showInputMessage="1" showErrorMessage="1" errorTitle="Warning" error="Value not in the range of -20 and 20!" sqref="G159">
      <formula1>-20</formula1>
      <formula2>20</formula2>
    </dataValidation>
    <dataValidation type="custom" allowBlank="1" showInputMessage="1" showErrorMessage="1" errorTitle="Warning" error="Reference does not exist!" sqref="H159">
      <formula1>COUNTIF($U$1:$U$116,H159)=1</formula1>
    </dataValidation>
    <dataValidation type="list" errorStyle="warning" allowBlank="1" showInputMessage="1" showErrorMessage="1" errorTitle="Warning" error="Type does not exist in the library!" sqref="D1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9">
      <formula1>"CAP,TF,IC,DCFEED"</formula1>
    </dataValidation>
    <dataValidation type="whole" allowBlank="1" showInputMessage="1" showErrorMessage="1" errorTitle="Warning" error="Value not in the range of -20 and 20!" sqref="G160">
      <formula1>-20</formula1>
      <formula2>20</formula2>
    </dataValidation>
    <dataValidation type="custom" allowBlank="1" showInputMessage="1" showErrorMessage="1" errorTitle="Warning" error="Reference does not exist!" sqref="H160">
      <formula1>COUNTIF($U$1:$U$116,H160)=1</formula1>
    </dataValidation>
    <dataValidation type="list" errorStyle="warning" allowBlank="1" showInputMessage="1" showErrorMessage="1" errorTitle="Warning" error="Type does not exist in the library!" sqref="D1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0">
      <formula1>"CAP,TF,IC,DCFEED"</formula1>
    </dataValidation>
    <dataValidation type="whole" allowBlank="1" showInputMessage="1" showErrorMessage="1" errorTitle="Warning" error="Value not in the range of -20 and 20!" sqref="G161">
      <formula1>-20</formula1>
      <formula2>20</formula2>
    </dataValidation>
    <dataValidation type="custom" allowBlank="1" showInputMessage="1" showErrorMessage="1" errorTitle="Warning" error="Reference does not exist!" sqref="H161">
      <formula1>COUNTIF($U$1:$U$116,H161)=1</formula1>
    </dataValidation>
    <dataValidation type="list" errorStyle="warning" allowBlank="1" showInputMessage="1" showErrorMessage="1" errorTitle="Warning" error="Type does not exist in the library!" sqref="D1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1">
      <formula1>"CAP,TF,IC,DCFEED"</formula1>
    </dataValidation>
    <dataValidation type="whole" allowBlank="1" showInputMessage="1" showErrorMessage="1" errorTitle="Warning" error="Value not in the range of -20 and 20!" sqref="G162">
      <formula1>-20</formula1>
      <formula2>20</formula2>
    </dataValidation>
    <dataValidation type="custom" allowBlank="1" showInputMessage="1" showErrorMessage="1" errorTitle="Warning" error="Reference does not exist!" sqref="H162">
      <formula1>COUNTIF($U$1:$U$116,H162)=1</formula1>
    </dataValidation>
    <dataValidation type="list" errorStyle="warning" allowBlank="1" showInputMessage="1" showErrorMessage="1" errorTitle="Warning" error="Type does not exist in the library!" sqref="D1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2">
      <formula1>"CAP,TF,IC,DCFEED"</formula1>
    </dataValidation>
    <dataValidation type="whole" allowBlank="1" showInputMessage="1" showErrorMessage="1" errorTitle="Warning" error="Value not in the range of -20 and 20!" sqref="G163">
      <formula1>-20</formula1>
      <formula2>20</formula2>
    </dataValidation>
    <dataValidation type="custom" allowBlank="1" showInputMessage="1" showErrorMessage="1" errorTitle="Warning" error="Reference does not exist!" sqref="H163">
      <formula1>COUNTIF($U$1:$U$116,H163)=1</formula1>
    </dataValidation>
    <dataValidation type="list" errorStyle="warning" allowBlank="1" showInputMessage="1" showErrorMessage="1" errorTitle="Warning" error="Type does not exist in the library!" sqref="D1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3">
      <formula1>"CAP,TF,IC,DCFEED"</formula1>
    </dataValidation>
    <dataValidation type="whole" allowBlank="1" showInputMessage="1" showErrorMessage="1" errorTitle="Warning" error="Value not in the range of -20 and 20!" sqref="G164">
      <formula1>-20</formula1>
      <formula2>20</formula2>
    </dataValidation>
    <dataValidation type="custom" allowBlank="1" showInputMessage="1" showErrorMessage="1" errorTitle="Warning" error="Reference does not exist!" sqref="H164">
      <formula1>COUNTIF($U$1:$U$116,H164)=1</formula1>
    </dataValidation>
    <dataValidation type="list" errorStyle="warning" allowBlank="1" showInputMessage="1" showErrorMessage="1" errorTitle="Warning" error="Type does not exist in the library!" sqref="D1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4">
      <formula1>"CAP,TF,IC,DCFEED"</formula1>
    </dataValidation>
    <dataValidation type="whole" allowBlank="1" showInputMessage="1" showErrorMessage="1" errorTitle="Warning" error="Value not in the range of -20 and 20!" sqref="G165">
      <formula1>-20</formula1>
      <formula2>20</formula2>
    </dataValidation>
    <dataValidation type="custom" allowBlank="1" showInputMessage="1" showErrorMessage="1" errorTitle="Warning" error="Reference does not exist!" sqref="H165">
      <formula1>COUNTIF($U$1:$U$116,H165)=1</formula1>
    </dataValidation>
    <dataValidation type="list" errorStyle="warning" allowBlank="1" showInputMessage="1" showErrorMessage="1" errorTitle="Warning" error="Type does not exist in the library!" sqref="D1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5">
      <formula1>"CAP,TF,IC,DCFEED"</formula1>
    </dataValidation>
    <dataValidation type="whole" allowBlank="1" showInputMessage="1" showErrorMessage="1" errorTitle="Warning" error="Value not in the range of -20 and 20!" sqref="G166">
      <formula1>-20</formula1>
      <formula2>20</formula2>
    </dataValidation>
    <dataValidation type="custom" allowBlank="1" showInputMessage="1" showErrorMessage="1" errorTitle="Warning" error="Reference does not exist!" sqref="H166">
      <formula1>COUNTIF($U$1:$U$116,H166)=1</formula1>
    </dataValidation>
    <dataValidation type="list" errorStyle="warning" allowBlank="1" showInputMessage="1" showErrorMessage="1" errorTitle="Warning" error="Type does not exist in the library!" sqref="D1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6">
      <formula1>"CAP,TF,IC,DCFEED"</formula1>
    </dataValidation>
    <dataValidation type="whole" allowBlank="1" showInputMessage="1" showErrorMessage="1" errorTitle="Warning" error="Value not in the range of -20 and 20!" sqref="G167">
      <formula1>-20</formula1>
      <formula2>20</formula2>
    </dataValidation>
    <dataValidation type="custom" allowBlank="1" showInputMessage="1" showErrorMessage="1" errorTitle="Warning" error="Reference does not exist!" sqref="H167">
      <formula1>COUNTIF($U$1:$U$116,H167)=1</formula1>
    </dataValidation>
    <dataValidation type="list" errorStyle="warning" allowBlank="1" showInputMessage="1" showErrorMessage="1" errorTitle="Warning" error="Type does not exist in the library!" sqref="D1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7">
      <formula1>"CAP,TF,IC,DCFEED"</formula1>
    </dataValidation>
    <dataValidation type="whole" allowBlank="1" showInputMessage="1" showErrorMessage="1" errorTitle="Warning" error="Value not in the range of -20 and 20!" sqref="G168">
      <formula1>-20</formula1>
      <formula2>20</formula2>
    </dataValidation>
    <dataValidation type="custom" allowBlank="1" showInputMessage="1" showErrorMessage="1" errorTitle="Warning" error="Reference number does not exist or Duplicates!" sqref="C168">
      <formula1>AND(COUNTIF($C$2:$C$233,C168)=1, COUNTIF($U$1:$U$116,C168)=1)</formula1>
    </dataValidation>
    <dataValidation type="list" errorStyle="warning" allowBlank="1" showInputMessage="1" showErrorMessage="1" errorTitle="Warning" error="Type does not exist in the library!" sqref="D1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8">
      <formula1>"CAP,TF,IC,DCFEED"</formula1>
    </dataValidation>
    <dataValidation type="whole" allowBlank="1" showInputMessage="1" showErrorMessage="1" errorTitle="Warning" error="Value not in the range of -20 and 20!" sqref="G169">
      <formula1>-20</formula1>
      <formula2>20</formula2>
    </dataValidation>
    <dataValidation type="custom" allowBlank="1" showInputMessage="1" showErrorMessage="1" errorTitle="Warning" error="Reference number does not exist or Duplicates!" sqref="C169">
      <formula1>AND(COUNTIF($C$2:$C$233,C169)=1, COUNTIF($U$1:$U$116,C169)=1)</formula1>
    </dataValidation>
    <dataValidation type="list" errorStyle="warning" allowBlank="1" showInputMessage="1" showErrorMessage="1" errorTitle="Warning" error="Type does not exist in the library!" sqref="D1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9">
      <formula1>"CAP,TF,IC,DCFEED"</formula1>
    </dataValidation>
    <dataValidation type="whole" allowBlank="1" showInputMessage="1" showErrorMessage="1" errorTitle="Warning" error="Value not in the range of -20 and 20!" sqref="G170">
      <formula1>-20</formula1>
      <formula2>20</formula2>
    </dataValidation>
    <dataValidation type="custom" allowBlank="1" showInputMessage="1" showErrorMessage="1" errorTitle="Warning" error="Reference number does not exist or Duplicates!" sqref="C170">
      <formula1>AND(COUNTIF($C$2:$C$233,C170)=1, COUNTIF($U$1:$U$116,C170)=1)</formula1>
    </dataValidation>
    <dataValidation type="list" errorStyle="warning" allowBlank="1" showInputMessage="1" showErrorMessage="1" errorTitle="Warning" error="Type does not exist in the library!" sqref="D1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0">
      <formula1>"CAP,TF,IC,DCFEED"</formula1>
    </dataValidation>
    <dataValidation type="whole" allowBlank="1" showInputMessage="1" showErrorMessage="1" errorTitle="Warning" error="Value not in the range of -20 and 20!" sqref="G171">
      <formula1>-20</formula1>
      <formula2>20</formula2>
    </dataValidation>
    <dataValidation type="custom" allowBlank="1" showInputMessage="1" showErrorMessage="1" errorTitle="Warning" error="Reference does not exist!" sqref="H171">
      <formula1>COUNTIF($U$1:$U$116,H171)=1</formula1>
    </dataValidation>
    <dataValidation type="list" errorStyle="warning" allowBlank="1" showInputMessage="1" showErrorMessage="1" errorTitle="Warning" error="Type does not exist in the library!" sqref="D1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1">
      <formula1>"CAP,TF,IC,DCFEED"</formula1>
    </dataValidation>
    <dataValidation type="custom" allowBlank="1" showInputMessage="1" showErrorMessage="1" errorTitle="Warning" error="Reference number does not exist or Duplicates!" sqref="C172">
      <formula1>AND(COUNTIF($C$2:$C$233,C172)=1, COUNTIF($U$1:$U$116,C172)=1)</formula1>
    </dataValidation>
    <dataValidation type="list" errorStyle="warning" allowBlank="1" showInputMessage="1" showErrorMessage="1" errorTitle="Warning" error="Type does not exist in the library!" sqref="D1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2">
      <formula1>"CAP,TF,IC,DCFEED"</formula1>
    </dataValidation>
    <dataValidation type="whole" allowBlank="1" showInputMessage="1" showErrorMessage="1" errorTitle="Warning" error="Value not in the range of -20 and 20!" sqref="G172">
      <formula1>-20</formula1>
      <formula2>20</formula2>
    </dataValidation>
    <dataValidation type="custom" allowBlank="1" showInputMessage="1" showErrorMessage="1" errorTitle="Warning" error="Reference number does not exist or Duplicates!" sqref="C173">
      <formula1>AND(COUNTIF($C$2:$C$233,C173)=1, COUNTIF($U$1:$U$116,C173)=1)</formula1>
    </dataValidation>
    <dataValidation type="list" errorStyle="warning" allowBlank="1" showInputMessage="1" showErrorMessage="1" errorTitle="Warning" error="Type does not exist in the library!" sqref="D1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3">
      <formula1>"CAP,TF,IC,DCFEED"</formula1>
    </dataValidation>
    <dataValidation type="whole" allowBlank="1" showInputMessage="1" showErrorMessage="1" errorTitle="Warning" error="Value not in the range of -20 and 20!" sqref="G173">
      <formula1>-20</formula1>
      <formula2>20</formula2>
    </dataValidation>
    <dataValidation type="custom" allowBlank="1" showInputMessage="1" showErrorMessage="1" errorTitle="Warning" error="Reference number does not exist or Duplicates!" sqref="C174">
      <formula1>AND(COUNTIF($C$2:$C$233,C174)=1, COUNTIF($U$1:$U$116,C174)=1)</formula1>
    </dataValidation>
    <dataValidation type="list" errorStyle="warning" allowBlank="1" showInputMessage="1" showErrorMessage="1" errorTitle="Warning" error="Type does not exist in the library!" sqref="D1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4">
      <formula1>"CAP,TF,IC,DCFEED"</formula1>
    </dataValidation>
    <dataValidation type="whole" allowBlank="1" showInputMessage="1" showErrorMessage="1" errorTitle="Warning" error="Value not in the range of -20 and 20!" sqref="G174">
      <formula1>-20</formula1>
      <formula2>20</formula2>
    </dataValidation>
    <dataValidation type="custom" allowBlank="1" showInputMessage="1" showErrorMessage="1" errorTitle="Warning" error="Reference number does not exist or Duplicates!" sqref="C175">
      <formula1>AND(COUNTIF($C$2:$C$233,C175)=1, COUNTIF($U$1:$U$116,C175)=1)</formula1>
    </dataValidation>
    <dataValidation type="list" errorStyle="warning" allowBlank="1" showInputMessage="1" showErrorMessage="1" errorTitle="Warning" error="Type does not exist in the library!" sqref="D1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5">
      <formula1>"CAP,TF,IC,DCFEED"</formula1>
    </dataValidation>
    <dataValidation type="whole" allowBlank="1" showInputMessage="1" showErrorMessage="1" errorTitle="Warning" error="Value not in the range of -20 and 20!" sqref="G175">
      <formula1>-20</formula1>
      <formula2>20</formula2>
    </dataValidation>
    <dataValidation type="custom" allowBlank="1" showInputMessage="1" showErrorMessage="1" errorTitle="Warning" error="Reference number does not exist or Duplicates!" sqref="C176">
      <formula1>AND(COUNTIF($C$2:$C$233,C176)=1, COUNTIF($U$1:$U$116,C176)=1)</formula1>
    </dataValidation>
    <dataValidation type="list" errorStyle="warning" allowBlank="1" showInputMessage="1" showErrorMessage="1" errorTitle="Warning" error="Type does not exist in the library!" sqref="D1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6">
      <formula1>"CAP,TF,IC,DCFEED"</formula1>
    </dataValidation>
    <dataValidation type="whole" allowBlank="1" showInputMessage="1" showErrorMessage="1" errorTitle="Warning" error="Value not in the range of -20 and 20!" sqref="G176">
      <formula1>-20</formula1>
      <formula2>20</formula2>
    </dataValidation>
    <dataValidation type="custom" allowBlank="1" showInputMessage="1" showErrorMessage="1" errorTitle="Warning" error="Reference number does not exist or Duplicates!" sqref="C177">
      <formula1>AND(COUNTIF($C$2:$C$233,C177)=1, COUNTIF($U$1:$U$116,C177)=1)</formula1>
    </dataValidation>
    <dataValidation type="list" errorStyle="warning" allowBlank="1" showInputMessage="1" showErrorMessage="1" errorTitle="Warning" error="Type does not exist in the library!" sqref="D1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7">
      <formula1>"CAP,TF,IC,DCFEED"</formula1>
    </dataValidation>
    <dataValidation type="whole" allowBlank="1" showInputMessage="1" showErrorMessage="1" errorTitle="Warning" error="Value not in the range of -20 and 20!" sqref="G177">
      <formula1>-20</formula1>
      <formula2>20</formula2>
    </dataValidation>
    <dataValidation type="custom" allowBlank="1" showInputMessage="1" showErrorMessage="1" errorTitle="Warning" error="Reference number does not exist or Duplicates!" sqref="C178">
      <formula1>AND(COUNTIF($C$2:$C$233,C178)=1, COUNTIF($U$1:$U$116,C178)=1)</formula1>
    </dataValidation>
    <dataValidation type="list" errorStyle="warning" allowBlank="1" showInputMessage="1" showErrorMessage="1" errorTitle="Warning" error="Type does not exist in the library!" sqref="D1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8">
      <formula1>"CAP,TF,IC,DCFEED"</formula1>
    </dataValidation>
    <dataValidation type="whole" allowBlank="1" showInputMessage="1" showErrorMessage="1" errorTitle="Warning" error="Value not in the range of -20 and 20!" sqref="G178">
      <formula1>-20</formula1>
      <formula2>20</formula2>
    </dataValidation>
    <dataValidation type="custom" allowBlank="1" showInputMessage="1" showErrorMessage="1" errorTitle="Warning" error="Reference number does not exist or Duplicates!" sqref="C179">
      <formula1>AND(COUNTIF($C$2:$C$233,C179)=1, COUNTIF($U$1:$U$116,C179)=1)</formula1>
    </dataValidation>
    <dataValidation type="list" errorStyle="warning" allowBlank="1" showInputMessage="1" showErrorMessage="1" errorTitle="Warning" error="Type does not exist in the library!" sqref="D1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9">
      <formula1>"CAP,TF,IC,DCFEED"</formula1>
    </dataValidation>
    <dataValidation type="whole" allowBlank="1" showInputMessage="1" showErrorMessage="1" errorTitle="Warning" error="Value not in the range of -20 and 20!" sqref="G179">
      <formula1>-20</formula1>
      <formula2>20</formula2>
    </dataValidation>
    <dataValidation type="custom" allowBlank="1" showInputMessage="1" showErrorMessage="1" errorTitle="Warning" error="Reference number does not exist or Duplicates!" sqref="C180">
      <formula1>AND(COUNTIF($C$2:$C$233,C180)=1, COUNTIF($U$1:$U$116,C180)=1)</formula1>
    </dataValidation>
    <dataValidation type="list" errorStyle="warning" allowBlank="1" showInputMessage="1" showErrorMessage="1" errorTitle="Warning" error="Type does not exist in the library!" sqref="D1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0">
      <formula1>"CAP,TF,IC,DCFEED"</formula1>
    </dataValidation>
    <dataValidation type="whole" allowBlank="1" showInputMessage="1" showErrorMessage="1" errorTitle="Warning" error="Value not in the range of -20 and 20!" sqref="G180">
      <formula1>-20</formula1>
      <formula2>20</formula2>
    </dataValidation>
    <dataValidation type="custom" allowBlank="1" showInputMessage="1" showErrorMessage="1" errorTitle="Warning" error="Reference number does not exist or Duplicates!" sqref="C181">
      <formula1>AND(COUNTIF($C$2:$C$233,C181)=1, COUNTIF($U$1:$U$116,C181)=1)</formula1>
    </dataValidation>
    <dataValidation type="list" errorStyle="warning" allowBlank="1" showInputMessage="1" showErrorMessage="1" errorTitle="Warning" error="Type does not exist in the library!" sqref="D1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1">
      <formula1>"CAP,TF,IC,DCFEED"</formula1>
    </dataValidation>
    <dataValidation type="whole" allowBlank="1" showInputMessage="1" showErrorMessage="1" errorTitle="Warning" error="Value not in the range of -20 and 20!" sqref="G181">
      <formula1>-20</formula1>
      <formula2>20</formula2>
    </dataValidation>
    <dataValidation type="custom" allowBlank="1" showInputMessage="1" showErrorMessage="1" errorTitle="Warning" error="Reference number does not exist or Duplicates!" sqref="C182">
      <formula1>AND(COUNTIF($C$2:$C$233,C182)=1, COUNTIF($U$1:$U$116,C182)=1)</formula1>
    </dataValidation>
    <dataValidation type="list" errorStyle="warning" allowBlank="1" showInputMessage="1" showErrorMessage="1" errorTitle="Warning" error="Type does not exist in the library!" sqref="D1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2">
      <formula1>"CAP,TF,IC,DCFEED"</formula1>
    </dataValidation>
    <dataValidation type="whole" allowBlank="1" showInputMessage="1" showErrorMessage="1" errorTitle="Warning" error="Value not in the range of -20 and 20!" sqref="G182">
      <formula1>-20</formula1>
      <formula2>20</formula2>
    </dataValidation>
    <dataValidation type="custom" allowBlank="1" showInputMessage="1" showErrorMessage="1" errorTitle="Warning" error="Reference number does not exist or Duplicates!" sqref="C183">
      <formula1>AND(COUNTIF($C$2:$C$233,C183)=1, COUNTIF($U$1:$U$116,C183)=1)</formula1>
    </dataValidation>
    <dataValidation type="list" errorStyle="warning" allowBlank="1" showInputMessage="1" showErrorMessage="1" errorTitle="Warning" error="Type does not exist in the library!" sqref="D1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3">
      <formula1>"CAP,TF,IC,DCFEED"</formula1>
    </dataValidation>
    <dataValidation type="whole" allowBlank="1" showInputMessage="1" showErrorMessage="1" errorTitle="Warning" error="Value not in the range of -20 and 20!" sqref="G183">
      <formula1>-20</formula1>
      <formula2>20</formula2>
    </dataValidation>
    <dataValidation type="custom" allowBlank="1" showInputMessage="1" showErrorMessage="1" errorTitle="Warning" error="Reference number does not exist or Duplicates!" sqref="C184">
      <formula1>AND(COUNTIF($C$2:$C$233,C184)=1, COUNTIF($U$1:$U$116,C184)=1)</formula1>
    </dataValidation>
    <dataValidation type="list" errorStyle="warning" allowBlank="1" showInputMessage="1" showErrorMessage="1" errorTitle="Warning" error="Type does not exist in the library!" sqref="D1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4">
      <formula1>"CAP,TF,IC,DCFEED"</formula1>
    </dataValidation>
    <dataValidation type="whole" allowBlank="1" showInputMessage="1" showErrorMessage="1" errorTitle="Warning" error="Value not in the range of -20 and 20!" sqref="G184">
      <formula1>-20</formula1>
      <formula2>20</formula2>
    </dataValidation>
    <dataValidation type="custom" allowBlank="1" showInputMessage="1" showErrorMessage="1" errorTitle="Warning" error="Reference number does not exist or Duplicates!" sqref="C185">
      <formula1>AND(COUNTIF($C$2:$C$233,C185)=1, COUNTIF($U$1:$U$116,C185)=1)</formula1>
    </dataValidation>
    <dataValidation type="list" errorStyle="warning" allowBlank="1" showInputMessage="1" showErrorMessage="1" errorTitle="Warning" error="Type does not exist in the library!" sqref="D1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5">
      <formula1>"CAP,TF,IC,DCFEED"</formula1>
    </dataValidation>
    <dataValidation type="whole" allowBlank="1" showInputMessage="1" showErrorMessage="1" errorTitle="Warning" error="Value not in the range of -20 and 20!" sqref="G185">
      <formula1>-20</formula1>
      <formula2>20</formula2>
    </dataValidation>
    <dataValidation type="custom" allowBlank="1" showInputMessage="1" showErrorMessage="1" errorTitle="Warning" error="Reference number does not exist or Duplicates!" sqref="C186">
      <formula1>AND(COUNTIF($C$2:$C$233,C186)=1, COUNTIF($U$1:$U$116,C186)=1)</formula1>
    </dataValidation>
    <dataValidation type="list" errorStyle="warning" allowBlank="1" showInputMessage="1" showErrorMessage="1" errorTitle="Warning" error="Type does not exist in the library!" sqref="D1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6">
      <formula1>"CAP,TF,IC,DCFEED"</formula1>
    </dataValidation>
    <dataValidation type="whole" allowBlank="1" showInputMessage="1" showErrorMessage="1" errorTitle="Warning" error="Value not in the range of -20 and 20!" sqref="G186">
      <formula1>-20</formula1>
      <formula2>20</formula2>
    </dataValidation>
    <dataValidation type="custom" allowBlank="1" showInputMessage="1" showErrorMessage="1" errorTitle="Warning" error="Reference number does not exist or Duplicates!" sqref="C187">
      <formula1>AND(COUNTIF($C$2:$C$233,C187)=1, COUNTIF($U$1:$U$116,C187)=1)</formula1>
    </dataValidation>
    <dataValidation type="list" errorStyle="warning" allowBlank="1" showInputMessage="1" showErrorMessage="1" errorTitle="Warning" error="Type does not exist in the library!" sqref="D1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7">
      <formula1>"CAP,TF,IC,DCFEED"</formula1>
    </dataValidation>
    <dataValidation type="whole" allowBlank="1" showInputMessage="1" showErrorMessage="1" errorTitle="Warning" error="Value not in the range of -20 and 20!" sqref="G187">
      <formula1>-20</formula1>
      <formula2>20</formula2>
    </dataValidation>
    <dataValidation type="custom" allowBlank="1" showInputMessage="1" showErrorMessage="1" errorTitle="Warning" error="Reference number does not exist or Duplicates!" sqref="C188">
      <formula1>AND(COUNTIF($C$2:$C$233,C188)=1, COUNTIF($U$1:$U$116,C188)=1)</formula1>
    </dataValidation>
    <dataValidation type="list" errorStyle="warning" allowBlank="1" showInputMessage="1" showErrorMessage="1" errorTitle="Warning" error="Type does not exist in the library!" sqref="D1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8">
      <formula1>"CAP,TF,IC,DCFEED"</formula1>
    </dataValidation>
    <dataValidation type="whole" allowBlank="1" showInputMessage="1" showErrorMessage="1" errorTitle="Warning" error="Value not in the range of -20 and 20!" sqref="G188">
      <formula1>-20</formula1>
      <formula2>20</formula2>
    </dataValidation>
    <dataValidation type="custom" allowBlank="1" showInputMessage="1" showErrorMessage="1" errorTitle="Warning" error="Reference number does not exist or Duplicates!" sqref="C189">
      <formula1>AND(COUNTIF($C$2:$C$233,C189)=1, COUNTIF($U$1:$U$116,C189)=1)</formula1>
    </dataValidation>
    <dataValidation type="list" errorStyle="warning" allowBlank="1" showInputMessage="1" showErrorMessage="1" errorTitle="Warning" error="Type does not exist in the library!" sqref="D1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9">
      <formula1>"CAP,TF,IC,DCFEED"</formula1>
    </dataValidation>
    <dataValidation type="whole" allowBlank="1" showInputMessage="1" showErrorMessage="1" errorTitle="Warning" error="Value not in the range of -20 and 20!" sqref="G189">
      <formula1>-20</formula1>
      <formula2>20</formula2>
    </dataValidation>
    <dataValidation type="custom" allowBlank="1" showInputMessage="1" showErrorMessage="1" errorTitle="Warning" error="Reference number does not exist or Duplicates!" sqref="C190">
      <formula1>AND(COUNTIF($C$2:$C$233,C190)=1, COUNTIF($U$1:$U$116,C190)=1)</formula1>
    </dataValidation>
    <dataValidation type="list" errorStyle="warning" allowBlank="1" showInputMessage="1" showErrorMessage="1" errorTitle="Warning" error="Type does not exist in the library!" sqref="D1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0">
      <formula1>"CAP,TF,IC,DCFEED"</formula1>
    </dataValidation>
    <dataValidation type="whole" allowBlank="1" showInputMessage="1" showErrorMessage="1" errorTitle="Warning" error="Value not in the range of -20 and 20!" sqref="G190">
      <formula1>-20</formula1>
      <formula2>20</formula2>
    </dataValidation>
    <dataValidation type="custom" allowBlank="1" showInputMessage="1" showErrorMessage="1" errorTitle="Warning" error="Reference number does not exist or Duplicates!" sqref="C191">
      <formula1>AND(COUNTIF($C$2:$C$233,C191)=1, COUNTIF($U$1:$U$116,C191)=1)</formula1>
    </dataValidation>
    <dataValidation type="list" errorStyle="warning" allowBlank="1" showInputMessage="1" showErrorMessage="1" errorTitle="Warning" error="Type does not exist in the library!" sqref="D1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1">
      <formula1>"CAP,TF,IC,DCFEED"</formula1>
    </dataValidation>
    <dataValidation type="whole" allowBlank="1" showInputMessage="1" showErrorMessage="1" errorTitle="Warning" error="Value not in the range of -20 and 20!" sqref="G191">
      <formula1>-20</formula1>
      <formula2>20</formula2>
    </dataValidation>
    <dataValidation type="custom" allowBlank="1" showInputMessage="1" showErrorMessage="1" errorTitle="Warning" error="Reference number does not exist or Duplicates!" sqref="C192">
      <formula1>AND(COUNTIF($C$2:$C$233,C192)=1, COUNTIF($U$1:$U$116,C192)=1)</formula1>
    </dataValidation>
    <dataValidation type="list" errorStyle="warning" allowBlank="1" showInputMessage="1" showErrorMessage="1" errorTitle="Warning" error="Type does not exist in the library!" sqref="D1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2">
      <formula1>"CAP,TF,IC,DCFEED"</formula1>
    </dataValidation>
    <dataValidation type="whole" allowBlank="1" showInputMessage="1" showErrorMessage="1" errorTitle="Warning" error="Value not in the range of -20 and 20!" sqref="G192">
      <formula1>-20</formula1>
      <formula2>20</formula2>
    </dataValidation>
    <dataValidation type="custom" allowBlank="1" showInputMessage="1" showErrorMessage="1" errorTitle="Warning" error="Reference number does not exist or Duplicates!" sqref="C193">
      <formula1>AND(COUNTIF($C$2:$C$233,C193)=1, COUNTIF($U$1:$U$116,C193)=1)</formula1>
    </dataValidation>
    <dataValidation type="list" errorStyle="warning" allowBlank="1" showInputMessage="1" showErrorMessage="1" errorTitle="Warning" error="Type does not exist in the library!" sqref="D1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3">
      <formula1>"CAP,TF,IC,DCFEED"</formula1>
    </dataValidation>
    <dataValidation type="whole" allowBlank="1" showInputMessage="1" showErrorMessage="1" errorTitle="Warning" error="Value not in the range of -20 and 20!" sqref="G193">
      <formula1>-20</formula1>
      <formula2>20</formula2>
    </dataValidation>
    <dataValidation type="custom" allowBlank="1" showInputMessage="1" showErrorMessage="1" errorTitle="Warning" error="Reference number does not exist or Duplicates!" sqref="C194">
      <formula1>AND(COUNTIF($C$2:$C$233,C194)=1, COUNTIF($U$1:$U$116,C194)=1)</formula1>
    </dataValidation>
    <dataValidation type="list" errorStyle="warning" allowBlank="1" showInputMessage="1" showErrorMessage="1" errorTitle="Warning" error="Type does not exist in the library!" sqref="D1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4">
      <formula1>"CAP,TF,IC,DCFEED"</formula1>
    </dataValidation>
    <dataValidation type="whole" allowBlank="1" showInputMessage="1" showErrorMessage="1" errorTitle="Warning" error="Value not in the range of -20 and 20!" sqref="G194">
      <formula1>-20</formula1>
      <formula2>20</formula2>
    </dataValidation>
    <dataValidation type="custom" allowBlank="1" showInputMessage="1" showErrorMessage="1" errorTitle="Warning" error="Reference number does not exist or Duplicates!" sqref="C195">
      <formula1>AND(COUNTIF($C$2:$C$233,C195)=1, COUNTIF($U$1:$U$116,C195)=1)</formula1>
    </dataValidation>
    <dataValidation type="list" errorStyle="warning" allowBlank="1" showInputMessage="1" showErrorMessage="1" errorTitle="Warning" error="Type does not exist in the library!" sqref="D1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5">
      <formula1>"CAP,TF,IC,DCFEED"</formula1>
    </dataValidation>
    <dataValidation type="whole" allowBlank="1" showInputMessage="1" showErrorMessage="1" errorTitle="Warning" error="Value not in the range of -20 and 20!" sqref="G195">
      <formula1>-20</formula1>
      <formula2>20</formula2>
    </dataValidation>
    <dataValidation type="custom" allowBlank="1" showInputMessage="1" showErrorMessage="1" errorTitle="Warning" error="Reference number does not exist or Duplicates!" sqref="C196">
      <formula1>AND(COUNTIF($C$2:$C$233,C196)=1, COUNTIF($U$1:$U$116,C196)=1)</formula1>
    </dataValidation>
    <dataValidation type="list" errorStyle="warning" allowBlank="1" showInputMessage="1" showErrorMessage="1" errorTitle="Warning" error="Type does not exist in the library!" sqref="D1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6">
      <formula1>"CAP,TF,IC,DCFEED"</formula1>
    </dataValidation>
    <dataValidation type="whole" allowBlank="1" showInputMessage="1" showErrorMessage="1" errorTitle="Warning" error="Value not in the range of -20 and 20!" sqref="G196">
      <formula1>-20</formula1>
      <formula2>20</formula2>
    </dataValidation>
    <dataValidation type="custom" allowBlank="1" showInputMessage="1" showErrorMessage="1" errorTitle="Warning" error="Reference number does not exist or Duplicates!" sqref="C197">
      <formula1>AND(COUNTIF($C$2:$C$233,C197)=1, COUNTIF($U$1:$U$116,C197)=1)</formula1>
    </dataValidation>
    <dataValidation type="list" errorStyle="warning" allowBlank="1" showInputMessage="1" showErrorMessage="1" errorTitle="Warning" error="Type does not exist in the library!" sqref="D1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7">
      <formula1>"CAP,TF,IC,DCFEED"</formula1>
    </dataValidation>
    <dataValidation type="whole" allowBlank="1" showInputMessage="1" showErrorMessage="1" errorTitle="Warning" error="Value not in the range of -20 and 20!" sqref="G197">
      <formula1>-20</formula1>
      <formula2>20</formula2>
    </dataValidation>
    <dataValidation type="custom" allowBlank="1" showInputMessage="1" showErrorMessage="1" errorTitle="Warning" error="Reference number does not exist or Duplicates!" sqref="C198">
      <formula1>AND(COUNTIF($C$2:$C$233,C198)=1, COUNTIF($U$1:$U$116,C198)=1)</formula1>
    </dataValidation>
    <dataValidation type="list" errorStyle="warning" allowBlank="1" showInputMessage="1" showErrorMessage="1" errorTitle="Warning" error="Type does not exist in the library!" sqref="D1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8">
      <formula1>"CAP,TF,IC,DCFEED"</formula1>
    </dataValidation>
    <dataValidation type="whole" allowBlank="1" showInputMessage="1" showErrorMessage="1" errorTitle="Warning" error="Value not in the range of -20 and 20!" sqref="G198">
      <formula1>-20</formula1>
      <formula2>20</formula2>
    </dataValidation>
    <dataValidation type="custom" allowBlank="1" showInputMessage="1" showErrorMessage="1" errorTitle="Warning" error="Reference number does not exist or Duplicates!" sqref="C199">
      <formula1>AND(COUNTIF($C$2:$C$233,C199)=1, COUNTIF($U$1:$U$116,C199)=1)</formula1>
    </dataValidation>
    <dataValidation type="list" errorStyle="warning" allowBlank="1" showInputMessage="1" showErrorMessage="1" errorTitle="Warning" error="Type does not exist in the library!" sqref="D1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9">
      <formula1>"CAP,TF,IC,DCFEED"</formula1>
    </dataValidation>
    <dataValidation type="whole" allowBlank="1" showInputMessage="1" showErrorMessage="1" errorTitle="Warning" error="Value not in the range of -20 and 20!" sqref="G199">
      <formula1>-20</formula1>
      <formula2>20</formula2>
    </dataValidation>
    <dataValidation type="custom" allowBlank="1" showInputMessage="1" showErrorMessage="1" errorTitle="Warning" error="Reference number does not exist or Duplicates!" sqref="C200">
      <formula1>AND(COUNTIF($C$2:$C$233,C200)=1, COUNTIF($U$1:$U$116,C200)=1)</formula1>
    </dataValidation>
    <dataValidation type="list" errorStyle="warning" allowBlank="1" showInputMessage="1" showErrorMessage="1" errorTitle="Warning" error="Type does not exist in the library!" sqref="D2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0">
      <formula1>"CAP,TF,IC,DCFEED"</formula1>
    </dataValidation>
    <dataValidation type="whole" allowBlank="1" showInputMessage="1" showErrorMessage="1" errorTitle="Warning" error="Value not in the range of -20 and 20!" sqref="G200">
      <formula1>-20</formula1>
      <formula2>20</formula2>
    </dataValidation>
    <dataValidation type="custom" allowBlank="1" showInputMessage="1" showErrorMessage="1" errorTitle="Warning" error="Reference number does not exist or Duplicates!" sqref="C201">
      <formula1>AND(COUNTIF($C$2:$C$233,C201)=1, COUNTIF($U$1:$U$116,C201)=1)</formula1>
    </dataValidation>
    <dataValidation type="list" errorStyle="warning" allowBlank="1" showInputMessage="1" showErrorMessage="1" errorTitle="Warning" error="Type does not exist in the library!" sqref="D2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1">
      <formula1>"CAP,TF,IC,DCFEED"</formula1>
    </dataValidation>
    <dataValidation type="whole" allowBlank="1" showInputMessage="1" showErrorMessage="1" errorTitle="Warning" error="Value not in the range of -20 and 20!" sqref="G201">
      <formula1>-20</formula1>
      <formula2>20</formula2>
    </dataValidation>
    <dataValidation type="custom" allowBlank="1" showInputMessage="1" showErrorMessage="1" errorTitle="Warning" error="Reference number does not exist or Duplicates!" sqref="C202">
      <formula1>AND(COUNTIF($C$2:$C$233,C202)=1, COUNTIF($U$1:$U$116,C202)=1)</formula1>
    </dataValidation>
    <dataValidation type="list" errorStyle="warning" allowBlank="1" showInputMessage="1" showErrorMessage="1" errorTitle="Warning" error="Type does not exist in the library!" sqref="D2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2">
      <formula1>"CAP,TF,IC,DCFEED"</formula1>
    </dataValidation>
    <dataValidation type="whole" allowBlank="1" showInputMessage="1" showErrorMessage="1" errorTitle="Warning" error="Value not in the range of -20 and 20!" sqref="G202">
      <formula1>-20</formula1>
      <formula2>20</formula2>
    </dataValidation>
    <dataValidation type="custom" allowBlank="1" showInputMessage="1" showErrorMessage="1" errorTitle="Warning" error="Reference number does not exist or Duplicates!" sqref="C203">
      <formula1>AND(COUNTIF($C$2:$C$233,C203)=1, COUNTIF($U$1:$U$116,C203)=1)</formula1>
    </dataValidation>
    <dataValidation type="list" errorStyle="warning" allowBlank="1" showInputMessage="1" showErrorMessage="1" errorTitle="Warning" error="Type does not exist in the library!" sqref="D2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3">
      <formula1>"CAP,TF,IC,DCFEED"</formula1>
    </dataValidation>
    <dataValidation type="whole" allowBlank="1" showInputMessage="1" showErrorMessage="1" errorTitle="Warning" error="Value not in the range of -20 and 20!" sqref="G203">
      <formula1>-20</formula1>
      <formula2>20</formula2>
    </dataValidation>
    <dataValidation type="custom" allowBlank="1" showInputMessage="1" showErrorMessage="1" errorTitle="Warning" error="Reference number does not exist or Duplicates!" sqref="C204">
      <formula1>AND(COUNTIF($C$2:$C$233,C204)=1, COUNTIF($U$1:$U$116,C204)=1)</formula1>
    </dataValidation>
    <dataValidation type="list" errorStyle="warning" allowBlank="1" showInputMessage="1" showErrorMessage="1" errorTitle="Warning" error="Type does not exist in the library!" sqref="D2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4">
      <formula1>"CAP,TF,IC,DCFEED"</formula1>
    </dataValidation>
    <dataValidation type="whole" allowBlank="1" showInputMessage="1" showErrorMessage="1" errorTitle="Warning" error="Value not in the range of -20 and 20!" sqref="G204">
      <formula1>-20</formula1>
      <formula2>20</formula2>
    </dataValidation>
    <dataValidation type="custom" allowBlank="1" showInputMessage="1" showErrorMessage="1" errorTitle="Warning" error="Reference number does not exist or Duplicates!" sqref="C205">
      <formula1>AND(COUNTIF($C$2:$C$233,C205)=1, COUNTIF($U$1:$U$116,C205)=1)</formula1>
    </dataValidation>
    <dataValidation type="list" errorStyle="warning" allowBlank="1" showInputMessage="1" showErrorMessage="1" errorTitle="Warning" error="Type does not exist in the library!" sqref="D2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5">
      <formula1>"CAP,TF,IC,DCFEED"</formula1>
    </dataValidation>
    <dataValidation type="whole" allowBlank="1" showInputMessage="1" showErrorMessage="1" errorTitle="Warning" error="Value not in the range of -20 and 20!" sqref="G205">
      <formula1>-20</formula1>
      <formula2>20</formula2>
    </dataValidation>
    <dataValidation type="custom" allowBlank="1" showInputMessage="1" showErrorMessage="1" errorTitle="Warning" error="Reference number does not exist or Duplicates!" sqref="C206">
      <formula1>AND(COUNTIF($C$2:$C$233,C206)=1, COUNTIF($U$1:$U$116,C206)=1)</formula1>
    </dataValidation>
    <dataValidation type="list" errorStyle="warning" allowBlank="1" showInputMessage="1" showErrorMessage="1" errorTitle="Warning" error="Type does not exist in the library!" sqref="D2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6">
      <formula1>"CAP,TF,IC,DCFEED"</formula1>
    </dataValidation>
    <dataValidation type="whole" allowBlank="1" showInputMessage="1" showErrorMessage="1" errorTitle="Warning" error="Value not in the range of -20 and 20!" sqref="G206">
      <formula1>-20</formula1>
      <formula2>20</formula2>
    </dataValidation>
    <dataValidation type="custom" allowBlank="1" showInputMessage="1" showErrorMessage="1" errorTitle="Warning" error="Reference number does not exist or Duplicates!" sqref="C207">
      <formula1>AND(COUNTIF($C$2:$C$233,C207)=1, COUNTIF($U$1:$U$116,C207)=1)</formula1>
    </dataValidation>
    <dataValidation type="list" errorStyle="warning" allowBlank="1" showInputMessage="1" showErrorMessage="1" errorTitle="Warning" error="Type does not exist in the library!" sqref="D2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7">
      <formula1>"CAP,TF,IC,DCFEED"</formula1>
    </dataValidation>
    <dataValidation type="whole" allowBlank="1" showInputMessage="1" showErrorMessage="1" errorTitle="Warning" error="Value not in the range of -20 and 20!" sqref="G207">
      <formula1>-20</formula1>
      <formula2>20</formula2>
    </dataValidation>
    <dataValidation type="custom" allowBlank="1" showInputMessage="1" showErrorMessage="1" errorTitle="Warning" error="Reference number does not exist or Duplicates!" sqref="C208">
      <formula1>AND(COUNTIF($C$2:$C$233,C208)=1, COUNTIF($U$1:$U$116,C208)=1)</formula1>
    </dataValidation>
    <dataValidation type="list" errorStyle="warning" allowBlank="1" showInputMessage="1" showErrorMessage="1" errorTitle="Warning" error="Type does not exist in the library!" sqref="D2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8">
      <formula1>"CAP,TF,IC,DCFEED"</formula1>
    </dataValidation>
    <dataValidation type="whole" allowBlank="1" showInputMessage="1" showErrorMessage="1" errorTitle="Warning" error="Value not in the range of -20 and 20!" sqref="G208">
      <formula1>-20</formula1>
      <formula2>20</formula2>
    </dataValidation>
    <dataValidation type="custom" allowBlank="1" showInputMessage="1" showErrorMessage="1" errorTitle="Warning" error="Reference number does not exist or Duplicates!" sqref="C209">
      <formula1>AND(COUNTIF($C$2:$C$233,C209)=1, COUNTIF($U$1:$U$116,C209)=1)</formula1>
    </dataValidation>
    <dataValidation type="list" errorStyle="warning" allowBlank="1" showInputMessage="1" showErrorMessage="1" errorTitle="Warning" error="Type does not exist in the library!" sqref="D2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9">
      <formula1>"CAP,TF,IC,DCFEED"</formula1>
    </dataValidation>
    <dataValidation type="whole" allowBlank="1" showInputMessage="1" showErrorMessage="1" errorTitle="Warning" error="Value not in the range of -20 and 20!" sqref="G209">
      <formula1>-20</formula1>
      <formula2>20</formula2>
    </dataValidation>
    <dataValidation type="custom" allowBlank="1" showInputMessage="1" showErrorMessage="1" errorTitle="Warning" error="Reference number does not exist or Duplicates!" sqref="C210">
      <formula1>AND(COUNTIF($C$2:$C$233,C210)=1, COUNTIF($U$1:$U$116,C210)=1)</formula1>
    </dataValidation>
    <dataValidation type="list" errorStyle="warning" allowBlank="1" showInputMessage="1" showErrorMessage="1" errorTitle="Warning" error="Type does not exist in the library!" sqref="D2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0">
      <formula1>"CAP,TF,IC,DCFEED"</formula1>
    </dataValidation>
    <dataValidation type="whole" allowBlank="1" showInputMessage="1" showErrorMessage="1" errorTitle="Warning" error="Value not in the range of -20 and 20!" sqref="G210">
      <formula1>-20</formula1>
      <formula2>20</formula2>
    </dataValidation>
    <dataValidation type="custom" allowBlank="1" showInputMessage="1" showErrorMessage="1" errorTitle="Warning" error="Reference number does not exist or Duplicates!" sqref="C211">
      <formula1>AND(COUNTIF($C$2:$C$233,C211)=1, COUNTIF($U$1:$U$116,C211)=1)</formula1>
    </dataValidation>
    <dataValidation type="list" errorStyle="warning" allowBlank="1" showInputMessage="1" showErrorMessage="1" errorTitle="Warning" error="Type does not exist in the library!" sqref="D2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1">
      <formula1>"CAP,TF,IC,DCFEED"</formula1>
    </dataValidation>
    <dataValidation type="whole" allowBlank="1" showInputMessage="1" showErrorMessage="1" errorTitle="Warning" error="Value not in the range of -20 and 20!" sqref="G211">
      <formula1>-20</formula1>
      <formula2>20</formula2>
    </dataValidation>
    <dataValidation type="custom" allowBlank="1" showInputMessage="1" showErrorMessage="1" errorTitle="Warning" error="Reference number does not exist or Duplicates!" sqref="C212">
      <formula1>AND(COUNTIF($C$2:$C$233,C212)=1, COUNTIF($U$1:$U$116,C212)=1)</formula1>
    </dataValidation>
    <dataValidation type="list" errorStyle="warning" allowBlank="1" showInputMessage="1" showErrorMessage="1" errorTitle="Warning" error="Type does not exist in the library!" sqref="D2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2">
      <formula1>"CAP,TF,IC,DCFEED"</formula1>
    </dataValidation>
    <dataValidation type="whole" allowBlank="1" showInputMessage="1" showErrorMessage="1" errorTitle="Warning" error="Value not in the range of -20 and 20!" sqref="G212">
      <formula1>-20</formula1>
      <formula2>20</formula2>
    </dataValidation>
    <dataValidation type="custom" allowBlank="1" showInputMessage="1" showErrorMessage="1" errorTitle="Warning" error="Reference number does not exist or Duplicates!" sqref="C213">
      <formula1>AND(COUNTIF($C$2:$C$233,C213)=1, COUNTIF($U$1:$U$116,C213)=1)</formula1>
    </dataValidation>
    <dataValidation type="list" errorStyle="warning" allowBlank="1" showInputMessage="1" showErrorMessage="1" errorTitle="Warning" error="Type does not exist in the library!" sqref="D2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3">
      <formula1>"CAP,TF,IC,DCFEED"</formula1>
    </dataValidation>
    <dataValidation type="whole" allowBlank="1" showInputMessage="1" showErrorMessage="1" errorTitle="Warning" error="Value not in the range of -20 and 20!" sqref="G213">
      <formula1>-20</formula1>
      <formula2>20</formula2>
    </dataValidation>
    <dataValidation type="custom" allowBlank="1" showInputMessage="1" showErrorMessage="1" errorTitle="Warning" error="Reference number does not exist or Duplicates!" sqref="C214">
      <formula1>AND(COUNTIF($C$2:$C$233,C214)=1, COUNTIF($U$1:$U$116,C214)=1)</formula1>
    </dataValidation>
    <dataValidation type="list" errorStyle="warning" allowBlank="1" showInputMessage="1" showErrorMessage="1" errorTitle="Warning" error="Type does not exist in the library!" sqref="D2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4">
      <formula1>"CAP,TF,IC,DCFEED"</formula1>
    </dataValidation>
    <dataValidation type="whole" allowBlank="1" showInputMessage="1" showErrorMessage="1" errorTitle="Warning" error="Value not in the range of -20 and 20!" sqref="G214">
      <formula1>-20</formula1>
      <formula2>20</formula2>
    </dataValidation>
    <dataValidation type="custom" allowBlank="1" showInputMessage="1" showErrorMessage="1" errorTitle="Warning" error="Reference number does not exist or Duplicates!" sqref="C215">
      <formula1>AND(COUNTIF($C$2:$C$233,C215)=1, COUNTIF($U$1:$U$116,C215)=1)</formula1>
    </dataValidation>
    <dataValidation type="list" errorStyle="warning" allowBlank="1" showInputMessage="1" showErrorMessage="1" errorTitle="Warning" error="Type does not exist in the library!" sqref="D2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5">
      <formula1>"CAP,TF,IC,DCFEED"</formula1>
    </dataValidation>
    <dataValidation type="whole" allowBlank="1" showInputMessage="1" showErrorMessage="1" errorTitle="Warning" error="Value not in the range of -20 and 20!" sqref="G215">
      <formula1>-20</formula1>
      <formula2>20</formula2>
    </dataValidation>
    <dataValidation type="custom" allowBlank="1" showInputMessage="1" showErrorMessage="1" errorTitle="Warning" error="Reference number does not exist or Duplicates!" sqref="C216">
      <formula1>AND(COUNTIF($C$2:$C$233,C216)=1, COUNTIF($U$1:$U$116,C216)=1)</formula1>
    </dataValidation>
    <dataValidation type="list" errorStyle="warning" allowBlank="1" showInputMessage="1" showErrorMessage="1" errorTitle="Warning" error="Type does not exist in the library!" sqref="D2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6">
      <formula1>"CAP,TF,IC,DCFEED"</formula1>
    </dataValidation>
    <dataValidation type="whole" allowBlank="1" showInputMessage="1" showErrorMessage="1" errorTitle="Warning" error="Value not in the range of -20 and 20!" sqref="G216">
      <formula1>-20</formula1>
      <formula2>20</formula2>
    </dataValidation>
    <dataValidation type="custom" allowBlank="1" showInputMessage="1" showErrorMessage="1" errorTitle="Warning" error="Reference number does not exist or Duplicates!" sqref="C217">
      <formula1>AND(COUNTIF($C$2:$C$233,C217)=1, COUNTIF($U$1:$U$116,C217)=1)</formula1>
    </dataValidation>
    <dataValidation type="list" errorStyle="warning" allowBlank="1" showInputMessage="1" showErrorMessage="1" errorTitle="Warning" error="Type does not exist in the library!" sqref="D2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7">
      <formula1>"CAP,TF,IC,DCFEED"</formula1>
    </dataValidation>
    <dataValidation type="whole" allowBlank="1" showInputMessage="1" showErrorMessage="1" errorTitle="Warning" error="Value not in the range of -20 and 20!" sqref="G217">
      <formula1>-20</formula1>
      <formula2>20</formula2>
    </dataValidation>
    <dataValidation type="custom" allowBlank="1" showInputMessage="1" showErrorMessage="1" errorTitle="Warning" error="Reference number does not exist or Duplicates!" sqref="C218">
      <formula1>AND(COUNTIF($C$2:$C$233,C218)=1, COUNTIF($U$1:$U$116,C218)=1)</formula1>
    </dataValidation>
    <dataValidation type="list" errorStyle="warning" allowBlank="1" showInputMessage="1" showErrorMessage="1" errorTitle="Warning" error="Type does not exist in the library!" sqref="D2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8">
      <formula1>"CAP,TF,IC,DCFEED"</formula1>
    </dataValidation>
    <dataValidation type="whole" allowBlank="1" showInputMessage="1" showErrorMessage="1" errorTitle="Warning" error="Value not in the range of -20 and 20!" sqref="G218">
      <formula1>-20</formula1>
      <formula2>20</formula2>
    </dataValidation>
    <dataValidation type="custom" allowBlank="1" showInputMessage="1" showErrorMessage="1" errorTitle="Warning" error="Reference number does not exist or Duplicates!" sqref="C219">
      <formula1>AND(COUNTIF($C$2:$C$233,C219)=1, COUNTIF($U$1:$U$116,C219)=1)</formula1>
    </dataValidation>
    <dataValidation type="list" errorStyle="warning" allowBlank="1" showInputMessage="1" showErrorMessage="1" errorTitle="Warning" error="Type does not exist in the library!" sqref="D2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9">
      <formula1>"CAP,TF,IC,DCFEED"</formula1>
    </dataValidation>
    <dataValidation type="whole" allowBlank="1" showInputMessage="1" showErrorMessage="1" errorTitle="Warning" error="Value not in the range of -20 and 20!" sqref="G219">
      <formula1>-20</formula1>
      <formula2>20</formula2>
    </dataValidation>
    <dataValidation type="custom" allowBlank="1" showInputMessage="1" showErrorMessage="1" errorTitle="Warning" error="Reference number does not exist or Duplicates!" sqref="C220">
      <formula1>AND(COUNTIF($C$2:$C$233,C220)=1, COUNTIF($U$1:$U$116,C220)=1)</formula1>
    </dataValidation>
    <dataValidation type="list" errorStyle="warning" allowBlank="1" showInputMessage="1" showErrorMessage="1" errorTitle="Warning" error="Type does not exist in the library!" sqref="D2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0">
      <formula1>"CAP,TF,IC,DCFEED"</formula1>
    </dataValidation>
    <dataValidation type="whole" allowBlank="1" showInputMessage="1" showErrorMessage="1" errorTitle="Warning" error="Value not in the range of -20 and 20!" sqref="G220">
      <formula1>-20</formula1>
      <formula2>20</formula2>
    </dataValidation>
    <dataValidation type="custom" allowBlank="1" showInputMessage="1" showErrorMessage="1" errorTitle="Warning" error="Reference number does not exist or Duplicates!" sqref="C221">
      <formula1>AND(COUNTIF($C$2:$C$233,C221)=1, COUNTIF($U$1:$U$116,C221)=1)</formula1>
    </dataValidation>
    <dataValidation type="list" errorStyle="warning" allowBlank="1" showInputMessage="1" showErrorMessage="1" errorTitle="Warning" error="Type does not exist in the library!" sqref="D2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1">
      <formula1>"CAP,TF,IC,DCFEED"</formula1>
    </dataValidation>
    <dataValidation type="whole" allowBlank="1" showInputMessage="1" showErrorMessage="1" errorTitle="Warning" error="Value not in the range of -20 and 20!" sqref="G221">
      <formula1>-20</formula1>
      <formula2>20</formula2>
    </dataValidation>
    <dataValidation type="custom" allowBlank="1" showInputMessage="1" showErrorMessage="1" errorTitle="Warning" error="Reference number does not exist or Duplicates!" sqref="C222">
      <formula1>AND(COUNTIF($C$2:$C$233,C222)=1, COUNTIF($U$1:$U$116,C222)=1)</formula1>
    </dataValidation>
    <dataValidation type="list" errorStyle="warning" allowBlank="1" showInputMessage="1" showErrorMessage="1" errorTitle="Warning" error="Type does not exist in the library!" sqref="D2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2">
      <formula1>"CAP,TF,IC,DCFEED"</formula1>
    </dataValidation>
    <dataValidation type="whole" allowBlank="1" showInputMessage="1" showErrorMessage="1" errorTitle="Warning" error="Value not in the range of -20 and 20!" sqref="G222">
      <formula1>-20</formula1>
      <formula2>20</formula2>
    </dataValidation>
    <dataValidation type="custom" allowBlank="1" showInputMessage="1" showErrorMessage="1" errorTitle="Warning" error="Reference number does not exist or Duplicates!" sqref="C223">
      <formula1>AND(COUNTIF($C$2:$C$233,C223)=1, COUNTIF($U$1:$U$116,C223)=1)</formula1>
    </dataValidation>
    <dataValidation type="list" errorStyle="warning" allowBlank="1" showInputMessage="1" showErrorMessage="1" errorTitle="Warning" error="Type does not exist in the library!" sqref="D2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3">
      <formula1>"CAP,TF,IC,DCFEED"</formula1>
    </dataValidation>
    <dataValidation type="whole" allowBlank="1" showInputMessage="1" showErrorMessage="1" errorTitle="Warning" error="Value not in the range of -20 and 20!" sqref="G223">
      <formula1>-20</formula1>
      <formula2>20</formula2>
    </dataValidation>
    <dataValidation type="custom" allowBlank="1" showInputMessage="1" showErrorMessage="1" errorTitle="Warning" error="Reference number does not exist or Duplicates!" sqref="C224">
      <formula1>AND(COUNTIF($C$2:$C$233,C224)=1, COUNTIF($U$1:$U$116,C224)=1)</formula1>
    </dataValidation>
    <dataValidation type="list" errorStyle="warning" allowBlank="1" showInputMessage="1" showErrorMessage="1" errorTitle="Warning" error="Type does not exist in the library!" sqref="D2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4">
      <formula1>"CAP,TF,IC,DCFEED"</formula1>
    </dataValidation>
    <dataValidation type="whole" allowBlank="1" showInputMessage="1" showErrorMessage="1" errorTitle="Warning" error="Value not in the range of -20 and 20!" sqref="G224">
      <formula1>-20</formula1>
      <formula2>20</formula2>
    </dataValidation>
    <dataValidation type="custom" allowBlank="1" showInputMessage="1" showErrorMessage="1" errorTitle="Warning" error="Reference number does not exist or Duplicates!" sqref="C225">
      <formula1>AND(COUNTIF($C$2:$C$233,C225)=1, COUNTIF($U$1:$U$116,C225)=1)</formula1>
    </dataValidation>
    <dataValidation type="list" errorStyle="warning" allowBlank="1" showInputMessage="1" showErrorMessage="1" errorTitle="Warning" error="Type does not exist in the library!" sqref="D2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5">
      <formula1>"CAP,TF,IC,DCFEED"</formula1>
    </dataValidation>
    <dataValidation type="whole" allowBlank="1" showInputMessage="1" showErrorMessage="1" errorTitle="Warning" error="Value not in the range of -20 and 20!" sqref="G225">
      <formula1>-20</formula1>
      <formula2>20</formula2>
    </dataValidation>
    <dataValidation type="custom" allowBlank="1" showInputMessage="1" showErrorMessage="1" errorTitle="Warning" error="Reference number does not exist or Duplicates!" sqref="C226">
      <formula1>AND(COUNTIF($C$2:$C$233,C226)=1, COUNTIF($U$1:$U$116,C226)=1)</formula1>
    </dataValidation>
    <dataValidation type="list" errorStyle="warning" allowBlank="1" showInputMessage="1" showErrorMessage="1" errorTitle="Warning" error="Type does not exist in the library!" sqref="D2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6">
      <formula1>"CAP,TF,IC,DCFEED"</formula1>
    </dataValidation>
    <dataValidation type="whole" allowBlank="1" showInputMessage="1" showErrorMessage="1" errorTitle="Warning" error="Value not in the range of -20 and 20!" sqref="G226">
      <formula1>-20</formula1>
      <formula2>20</formula2>
    </dataValidation>
    <dataValidation type="custom" allowBlank="1" showInputMessage="1" showErrorMessage="1" errorTitle="Warning" error="Reference number does not exist or Duplicates!" sqref="C227">
      <formula1>AND(COUNTIF($C$2:$C$233,C227)=1, COUNTIF($U$1:$U$116,C227)=1)</formula1>
    </dataValidation>
    <dataValidation type="list" errorStyle="warning" allowBlank="1" showInputMessage="1" showErrorMessage="1" errorTitle="Warning" error="Type does not exist in the library!" sqref="D2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7">
      <formula1>"CAP,TF,IC,DCFEED"</formula1>
    </dataValidation>
    <dataValidation type="whole" allowBlank="1" showInputMessage="1" showErrorMessage="1" errorTitle="Warning" error="Value not in the range of -20 and 20!" sqref="G227">
      <formula1>-20</formula1>
      <formula2>20</formula2>
    </dataValidation>
    <dataValidation type="custom" allowBlank="1" showInputMessage="1" showErrorMessage="1" errorTitle="Warning" error="Reference number does not exist or Duplicates!" sqref="C228">
      <formula1>AND(COUNTIF($C$2:$C$233,C228)=1, COUNTIF($U$1:$U$116,C228)=1)</formula1>
    </dataValidation>
    <dataValidation type="list" errorStyle="warning" allowBlank="1" showInputMessage="1" showErrorMessage="1" errorTitle="Warning" error="Type does not exist in the library!" sqref="D2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8">
      <formula1>"CAP,TF,IC,DCFEED"</formula1>
    </dataValidation>
    <dataValidation type="whole" allowBlank="1" showInputMessage="1" showErrorMessage="1" errorTitle="Warning" error="Value not in the range of -20 and 20!" sqref="G228">
      <formula1>-20</formula1>
      <formula2>20</formula2>
    </dataValidation>
    <dataValidation type="custom" allowBlank="1" showInputMessage="1" showErrorMessage="1" errorTitle="Warning" error="Reference number does not exist or Duplicates!" sqref="C229">
      <formula1>AND(COUNTIF($C$2:$C$233,C229)=1, COUNTIF($U$1:$U$116,C229)=1)</formula1>
    </dataValidation>
    <dataValidation type="list" errorStyle="warning" allowBlank="1" showInputMessage="1" showErrorMessage="1" errorTitle="Warning" error="Type does not exist in the library!" sqref="D2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9">
      <formula1>"CAP,TF,IC,DCFEED"</formula1>
    </dataValidation>
    <dataValidation type="whole" allowBlank="1" showInputMessage="1" showErrorMessage="1" errorTitle="Warning" error="Value not in the range of -20 and 20!" sqref="G229">
      <formula1>-20</formula1>
      <formula2>20</formula2>
    </dataValidation>
    <dataValidation type="custom" allowBlank="1" showInputMessage="1" showErrorMessage="1" errorTitle="Warning" error="Reference number does not exist or Duplicates!" sqref="C230">
      <formula1>AND(COUNTIF($C$2:$C$233,C230)=1, COUNTIF($U$1:$U$116,C230)=1)</formula1>
    </dataValidation>
    <dataValidation type="list" errorStyle="warning" allowBlank="1" showInputMessage="1" showErrorMessage="1" errorTitle="Warning" error="Type does not exist in the library!" sqref="D2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0">
      <formula1>"CAP,TF,IC,DCFEED"</formula1>
    </dataValidation>
    <dataValidation type="whole" allowBlank="1" showInputMessage="1" showErrorMessage="1" errorTitle="Warning" error="Value not in the range of -20 and 20!" sqref="G230">
      <formula1>-20</formula1>
      <formula2>20</formula2>
    </dataValidation>
    <dataValidation type="custom" allowBlank="1" showInputMessage="1" showErrorMessage="1" errorTitle="Warning" error="Reference number does not exist or Duplicates!" sqref="C231">
      <formula1>AND(COUNTIF($C$2:$C$233,C231)=1, COUNTIF($U$1:$U$116,C231)=1)</formula1>
    </dataValidation>
    <dataValidation type="list" errorStyle="warning" allowBlank="1" showInputMessage="1" showErrorMessage="1" errorTitle="Warning" error="Type does not exist in the library!" sqref="D2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1">
      <formula1>"CAP,TF,IC,DCFEED"</formula1>
    </dataValidation>
    <dataValidation type="whole" allowBlank="1" showInputMessage="1" showErrorMessage="1" errorTitle="Warning" error="Value not in the range of -20 and 20!" sqref="G231">
      <formula1>-20</formula1>
      <formula2>20</formula2>
    </dataValidation>
    <dataValidation type="custom" allowBlank="1" showInputMessage="1" showErrorMessage="1" errorTitle="Warning" error="Reference number does not exist or Duplicates!" sqref="C232">
      <formula1>AND(COUNTIF($C$2:$C$233,C232)=1, COUNTIF($U$1:$U$116,C232)=1)</formula1>
    </dataValidation>
    <dataValidation type="list" errorStyle="warning" allowBlank="1" showInputMessage="1" showErrorMessage="1" errorTitle="Warning" error="Type does not exist in the library!" sqref="D2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2">
      <formula1>"CAP,TF,IC,DCFEED"</formula1>
    </dataValidation>
    <dataValidation type="whole" allowBlank="1" showInputMessage="1" showErrorMessage="1" errorTitle="Warning" error="Value not in the range of -20 and 20!" sqref="G232">
      <formula1>-20</formula1>
      <formula2>20</formula2>
    </dataValidation>
    <dataValidation type="custom" allowBlank="1" showInputMessage="1" showErrorMessage="1" errorTitle="Warning" error="Reference number does not exist or Duplicates!" sqref="C233">
      <formula1>AND(COUNTIF($C$2:$C$233,C233)=1, COUNTIF($U$1:$U$116,C233)=1)</formula1>
    </dataValidation>
    <dataValidation type="list" errorStyle="warning" allowBlank="1" showInputMessage="1" showErrorMessage="1" errorTitle="Warning" error="Type does not exist in the library!" sqref="D2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3">
      <formula1>"CAP,TF,IC,DCFEED"</formula1>
    </dataValidation>
    <dataValidation type="whole" allowBlank="1" showInputMessage="1" showErrorMessage="1" errorTitle="Warning" error="Value not in the range of -20 and 20!" sqref="G233">
      <formula1>-20</formula1>
      <formula2>20</formula2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2017-06-23T08:29:43Z</dcterms:created>
  <dcterms:modified xsi:type="dcterms:W3CDTF">2017-06-23T08:29:43Z</dcterms:modified>
</cp:coreProperties>
</file>