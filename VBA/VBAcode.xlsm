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32" windowWidth="16092" windowHeight="9540"/>
  </bookViews>
  <sheets>
    <sheet name="Reference_copying" sheetId="1" r:id="rId1"/>
  </sheets>
  <calcPr calcId="145621"/>
</workbook>
</file>

<file path=xl/calcChain.xml><?xml version="1.0" encoding="utf-8"?>
<calcChain xmlns="http://schemas.openxmlformats.org/spreadsheetml/2006/main">
  <c r="L19" i="1" l="1"/>
  <c r="K18" i="1"/>
  <c r="J17" i="1"/>
  <c r="J15" i="1"/>
  <c r="J14" i="1"/>
  <c r="H172" i="1"/>
  <c r="E172" i="1"/>
  <c r="H171" i="1"/>
  <c r="H170" i="1"/>
  <c r="E170" i="1"/>
  <c r="H169" i="1"/>
  <c r="E169" i="1"/>
  <c r="H168" i="1"/>
  <c r="E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E142" i="1"/>
  <c r="H141" i="1"/>
  <c r="E141" i="1"/>
  <c r="H140" i="1"/>
  <c r="E140" i="1"/>
  <c r="H139" i="1"/>
  <c r="E139" i="1"/>
  <c r="H138" i="1"/>
  <c r="E138" i="1"/>
  <c r="H137" i="1"/>
  <c r="E137" i="1"/>
  <c r="H136" i="1"/>
  <c r="E136" i="1"/>
  <c r="H135" i="1"/>
  <c r="E135" i="1"/>
  <c r="H134" i="1"/>
  <c r="E134" i="1"/>
  <c r="H133" i="1"/>
  <c r="E133" i="1"/>
  <c r="H132" i="1"/>
  <c r="E132" i="1"/>
  <c r="H131" i="1"/>
  <c r="E131" i="1"/>
  <c r="H130" i="1"/>
  <c r="E130" i="1"/>
  <c r="H129" i="1"/>
  <c r="E129" i="1"/>
  <c r="H128" i="1"/>
  <c r="E128" i="1"/>
  <c r="H127" i="1"/>
  <c r="E127" i="1"/>
  <c r="H126" i="1"/>
  <c r="E126" i="1"/>
  <c r="H125" i="1"/>
  <c r="E125" i="1"/>
  <c r="H124" i="1"/>
  <c r="E124" i="1"/>
  <c r="H123" i="1"/>
  <c r="E123" i="1"/>
  <c r="H122" i="1"/>
  <c r="E122" i="1"/>
  <c r="H121" i="1"/>
  <c r="E121" i="1"/>
  <c r="H120" i="1"/>
  <c r="E120" i="1"/>
  <c r="H119" i="1"/>
  <c r="E119" i="1"/>
  <c r="H118" i="1"/>
  <c r="E118" i="1"/>
  <c r="H117" i="1"/>
  <c r="E117" i="1"/>
  <c r="H116" i="1"/>
  <c r="E116" i="1"/>
  <c r="H115" i="1"/>
  <c r="E115" i="1"/>
  <c r="H114" i="1"/>
  <c r="E114" i="1"/>
  <c r="H113" i="1"/>
  <c r="E113" i="1"/>
  <c r="H112" i="1"/>
  <c r="E112" i="1"/>
  <c r="H111" i="1"/>
  <c r="E111" i="1"/>
  <c r="H110" i="1"/>
  <c r="E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E76" i="1"/>
  <c r="H75" i="1"/>
  <c r="H74" i="1"/>
  <c r="H73" i="1"/>
  <c r="H72" i="1"/>
  <c r="H71" i="1"/>
  <c r="H70" i="1"/>
  <c r="H69" i="1"/>
  <c r="E69" i="1"/>
  <c r="H68" i="1"/>
  <c r="H67" i="1"/>
  <c r="H66" i="1"/>
  <c r="E66" i="1"/>
  <c r="H65" i="1"/>
  <c r="H64" i="1"/>
  <c r="H63" i="1"/>
  <c r="E63" i="1"/>
  <c r="H62" i="1"/>
  <c r="H61" i="1"/>
  <c r="E61" i="1"/>
  <c r="H60" i="1"/>
  <c r="H59" i="1"/>
  <c r="E59" i="1"/>
  <c r="H58" i="1"/>
  <c r="H57" i="1"/>
  <c r="H56" i="1"/>
  <c r="H55" i="1"/>
  <c r="E55" i="1"/>
  <c r="H54" i="1"/>
  <c r="H53" i="1"/>
  <c r="E53" i="1"/>
  <c r="H52" i="1"/>
  <c r="E52" i="1"/>
  <c r="H51" i="1"/>
  <c r="H50" i="1"/>
  <c r="E50" i="1"/>
  <c r="H49" i="1"/>
  <c r="H48" i="1"/>
  <c r="E48" i="1"/>
  <c r="H47" i="1"/>
  <c r="H46" i="1"/>
  <c r="E46" i="1"/>
  <c r="H45" i="1"/>
  <c r="H44" i="1"/>
  <c r="H43" i="1"/>
  <c r="H42" i="1"/>
  <c r="E42" i="1"/>
  <c r="H41" i="1"/>
  <c r="H40" i="1"/>
  <c r="H39" i="1"/>
  <c r="E39" i="1"/>
  <c r="H38" i="1"/>
  <c r="E38" i="1"/>
  <c r="H37" i="1"/>
  <c r="H36" i="1"/>
  <c r="E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E5" i="1"/>
  <c r="H3" i="1"/>
  <c r="E3" i="1"/>
  <c r="H2" i="1"/>
  <c r="F4" i="1"/>
  <c r="J19" i="1"/>
  <c r="G4" i="1"/>
  <c r="H4" i="1"/>
  <c r="K19" i="1"/>
  <c r="H5" i="1"/>
</calcChain>
</file>

<file path=xl/comments1.xml><?xml version="1.0" encoding="utf-8"?>
<comments xmlns="http://schemas.openxmlformats.org/spreadsheetml/2006/main">
  <authors>
    <author>Elton</author>
  </authors>
  <commentList>
    <comment ref="C1" authorId="0">
      <text>
        <r>
          <rPr>
            <sz val="8"/>
            <color indexed="81"/>
            <rFont val="Tahoma"/>
            <family val="2"/>
          </rPr>
          <t>Input a name of any existing refernces from the XML file (number only).
All gaps need to be filled out</t>
        </r>
      </text>
    </comment>
    <comment ref="E1" authorId="0">
      <text>
        <r>
          <rPr>
            <sz val="8"/>
            <color indexed="81"/>
            <rFont val="Tahoma"/>
            <family val="2"/>
          </rPr>
          <t>Double click to unlock or lock cells</t>
        </r>
      </text>
    </comment>
    <comment ref="A3" authorId="0">
      <text>
        <r>
          <rPr>
            <sz val="8"/>
            <color indexed="81"/>
            <rFont val="Tahoma"/>
            <family val="2"/>
          </rPr>
          <t>Reference gaps in xml file</t>
        </r>
      </text>
    </comment>
    <comment ref="A172" authorId="0">
      <text>
        <r>
          <rPr>
            <sz val="8"/>
            <color indexed="81"/>
            <rFont val="Tahoma"/>
            <family val="2"/>
          </rPr>
          <t>Optional Section</t>
        </r>
      </text>
    </comment>
  </commentList>
</comments>
</file>

<file path=xl/sharedStrings.xml><?xml version="1.0" encoding="utf-8"?>
<sst xmlns="http://schemas.openxmlformats.org/spreadsheetml/2006/main" count="533" uniqueCount="20">
  <si>
    <t>Status</t>
  </si>
  <si>
    <t>Reference Number (R)</t>
  </si>
  <si>
    <t>Copy (R)</t>
  </si>
  <si>
    <t>Reference Type</t>
  </si>
  <si>
    <t>Dependent On (R)</t>
  </si>
  <si>
    <t>Wire Count S</t>
  </si>
  <si>
    <t>Wire Count D</t>
  </si>
  <si>
    <t>Wire New Count D</t>
  </si>
  <si>
    <t>Wire Count</t>
  </si>
  <si>
    <t>XML: C:/Users/eltoshon/Desktop/N9041-63050d1_rev1.xml</t>
  </si>
  <si>
    <t>Pseudo Reference (R)</t>
  </si>
  <si>
    <t>Count</t>
  </si>
  <si>
    <t>A</t>
  </si>
  <si>
    <t>B</t>
  </si>
  <si>
    <t>existing</t>
  </si>
  <si>
    <t>BLOCKED</t>
  </si>
  <si>
    <t>Default</t>
  </si>
  <si>
    <t>missing</t>
  </si>
  <si>
    <t>3</t>
  </si>
  <si>
    <t>appending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</si>
</sst>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1"/>
      <color rgb="FF1F497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A6A6A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B8CCE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92CDD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82A5D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Protection="1">
      <protection hidden="1"/>
    </xf>
    <xf numFmtId="0" fontId="0" fillId="0" borderId="0" xfId="0" applyAlignment="1">
      <alignment horizontal="center" vertical="center"/>
    </xf>
    <xf numFmtId="0" fontId="4" fillId="3" borderId="0" xfId="0" applyFont="1" applyFill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5" fillId="4" borderId="2" xfId="0" applyFont="1" applyFill="1" applyBorder="1" applyAlignment="1">
      <alignment horizontal="center" vertical="center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hidden="1"/>
    </xf>
    <xf numFmtId="0" fontId="0" fillId="4" borderId="2" xfId="0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/>
      <protection hidden="1"/>
    </xf>
    <xf numFmtId="0" fontId="0" fillId="0" borderId="0" xfId="0"/>
  </cellXfs>
  <cellStyles count="1">
    <cellStyle name="Normal" xfId="0" builtinId="0"/>
  </cellStyles>
  <dxfs count="302"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169</xdr:row>
          <xdr:rowOff>0</xdr:rowOff>
        </xdr:from>
        <xdr:to>
          <xdr:col>11</xdr:col>
          <xdr:colOff>0</xdr:colOff>
          <xdr:row>171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172</xdr:row>
          <xdr:rowOff>0</xdr:rowOff>
        </xdr:from>
        <xdr:to>
          <xdr:col>11</xdr:col>
          <xdr:colOff>0</xdr:colOff>
          <xdr:row>174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UnAppend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72"/>
  <sheetViews>
    <sheetView tabSelected="1" topLeftCell="B1" workbookViewId="0">
      <selection activeCell="M7" sqref="M7"/>
    </sheetView>
  </sheetViews>
  <sheetFormatPr defaultRowHeight="14.4" x14ac:dyDescent="0.3"/>
  <cols>
    <col min="1" max="1" width="9.6640625" customWidth="1"/>
    <col min="2" max="2" width="20.6640625" customWidth="1"/>
    <col min="4" max="4" width="14.6640625" customWidth="1"/>
    <col min="5" max="5" width="17.6640625" customWidth="1"/>
    <col min="6" max="7" width="12.6640625" customWidth="1"/>
    <col min="8" max="8" width="16.6640625" customWidth="1"/>
    <col min="9" max="9" width="5.6640625" customWidth="1"/>
    <col min="12" max="12" width="18.6640625" customWidth="1"/>
    <col min="13" max="13" width="19.6640625" customWidth="1"/>
    <col min="14" max="14" width="6.6640625" customWidth="1"/>
    <col min="15" max="16" width="12.6640625" customWidth="1"/>
  </cols>
  <sheetData>
    <row r="1" spans="1:2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>
        <v>171</v>
      </c>
      <c r="M1" t="s">
        <v>9</v>
      </c>
      <c r="U1" s="2">
        <v>1</v>
      </c>
    </row>
    <row r="2" spans="1:21" x14ac:dyDescent="0.3">
      <c r="A2" s="2" t="s">
        <v>14</v>
      </c>
      <c r="B2" s="3">
        <v>1</v>
      </c>
      <c r="C2" s="4" t="s">
        <v>15</v>
      </c>
      <c r="D2" s="5" t="s">
        <v>16</v>
      </c>
      <c r="E2" s="3"/>
      <c r="F2" s="3">
        <v>0</v>
      </c>
      <c r="G2" s="3">
        <v>0</v>
      </c>
      <c r="H2" s="6">
        <f>IF(COUNTIF(C2:C233, 1) &gt; 0, 0, 0)</f>
        <v>0</v>
      </c>
      <c r="I2" s="2">
        <v>172</v>
      </c>
      <c r="U2" s="2">
        <v>3</v>
      </c>
    </row>
    <row r="3" spans="1:21" x14ac:dyDescent="0.3">
      <c r="A3" s="7" t="s">
        <v>17</v>
      </c>
      <c r="B3" s="7">
        <v>2</v>
      </c>
      <c r="C3" s="8"/>
      <c r="D3" s="8"/>
      <c r="E3" s="9">
        <f>C3</f>
        <v>0</v>
      </c>
      <c r="F3" s="10">
        <v>0</v>
      </c>
      <c r="G3" s="10">
        <v>0</v>
      </c>
      <c r="H3" s="9">
        <f ca="1">IF(ISBLANK(C3), 0, INDIRECT("G"&amp; C3+1))</f>
        <v>0</v>
      </c>
      <c r="I3" s="2">
        <v>172</v>
      </c>
      <c r="M3" s="3" t="s">
        <v>8</v>
      </c>
      <c r="U3" s="2">
        <v>5</v>
      </c>
    </row>
    <row r="4" spans="1:21" x14ac:dyDescent="0.3">
      <c r="A4" s="2" t="s">
        <v>14</v>
      </c>
      <c r="B4" s="3">
        <v>3</v>
      </c>
      <c r="C4" s="4" t="s">
        <v>15</v>
      </c>
      <c r="D4" s="5" t="s">
        <v>16</v>
      </c>
      <c r="E4" s="3"/>
      <c r="F4" s="3">
        <f ca="1">IF(COUNTIF(M7:M8, 3) &gt; 0, 9+INDIRECT("O"&amp;MATCH(3,M7:M8,0)+6), 9)</f>
        <v>9</v>
      </c>
      <c r="G4" s="3">
        <f ca="1">IF(COUNTIF(M7:M8, 3) &gt; 0, 14+INDIRECT("P"&amp;MATCH(3,M7:M8,0)+6), 14)</f>
        <v>14</v>
      </c>
      <c r="H4" s="6">
        <f ca="1">IF(COUNTIF(C2:C233, 3) &gt; 0, 0,IF(COUNTIF(M7:M8, 3) &gt; 0, 14+INDIRECT("P"&amp;MATCH(3,M7:M8,0)+6), 14))</f>
        <v>14</v>
      </c>
      <c r="I4" s="2">
        <v>233</v>
      </c>
      <c r="M4" s="3">
        <v>261</v>
      </c>
      <c r="U4" s="2">
        <v>6</v>
      </c>
    </row>
    <row r="5" spans="1:21" x14ac:dyDescent="0.3">
      <c r="A5" s="7" t="s">
        <v>17</v>
      </c>
      <c r="B5" s="7">
        <v>4</v>
      </c>
      <c r="C5" s="8"/>
      <c r="D5" s="8"/>
      <c r="E5" s="9">
        <f>C5</f>
        <v>0</v>
      </c>
      <c r="F5" s="10">
        <v>0</v>
      </c>
      <c r="G5" s="10">
        <v>0</v>
      </c>
      <c r="H5" s="9">
        <f ca="1">IF(ISBLANK(C5), 0, INDIRECT("G"&amp; C5+1))</f>
        <v>0</v>
      </c>
      <c r="U5" s="2">
        <v>7</v>
      </c>
    </row>
    <row r="6" spans="1:21" x14ac:dyDescent="0.3">
      <c r="A6" s="2" t="s">
        <v>14</v>
      </c>
      <c r="B6" s="3">
        <v>5</v>
      </c>
      <c r="C6" s="4" t="s">
        <v>15</v>
      </c>
      <c r="D6" s="5" t="s">
        <v>16</v>
      </c>
      <c r="E6" s="3"/>
      <c r="F6" s="3">
        <v>6</v>
      </c>
      <c r="G6" s="3">
        <v>0</v>
      </c>
      <c r="H6" s="6">
        <f>IF(COUNTIF(C2:C233, 5) &gt; 0, 0, 0)</f>
        <v>0</v>
      </c>
      <c r="L6" s="1" t="s">
        <v>10</v>
      </c>
      <c r="M6" s="1" t="s">
        <v>1</v>
      </c>
      <c r="N6" s="1" t="s">
        <v>11</v>
      </c>
      <c r="O6" s="1" t="s">
        <v>5</v>
      </c>
      <c r="P6" s="1" t="s">
        <v>6</v>
      </c>
      <c r="U6" s="2">
        <v>8</v>
      </c>
    </row>
    <row r="7" spans="1:21" x14ac:dyDescent="0.3">
      <c r="A7" s="2" t="s">
        <v>14</v>
      </c>
      <c r="B7" s="3">
        <v>6</v>
      </c>
      <c r="C7" s="4" t="s">
        <v>15</v>
      </c>
      <c r="D7" s="5" t="s">
        <v>16</v>
      </c>
      <c r="E7" s="3" t="s">
        <v>18</v>
      </c>
      <c r="F7" s="3">
        <v>2</v>
      </c>
      <c r="G7" s="3">
        <v>0</v>
      </c>
      <c r="H7" s="6">
        <f>IF(COUNTIF(C2:C233, 6) &gt; 0, 0, 0)</f>
        <v>0</v>
      </c>
      <c r="L7" s="11" t="s">
        <v>12</v>
      </c>
      <c r="M7" s="5"/>
      <c r="N7" s="12">
        <v>27</v>
      </c>
      <c r="O7" s="12">
        <v>11</v>
      </c>
      <c r="P7" s="12">
        <v>36</v>
      </c>
      <c r="U7" s="2">
        <v>9</v>
      </c>
    </row>
    <row r="8" spans="1:21" x14ac:dyDescent="0.3">
      <c r="A8" s="2" t="s">
        <v>14</v>
      </c>
      <c r="B8" s="3">
        <v>7</v>
      </c>
      <c r="C8" s="4" t="s">
        <v>15</v>
      </c>
      <c r="D8" s="5" t="s">
        <v>16</v>
      </c>
      <c r="E8" s="3" t="s">
        <v>18</v>
      </c>
      <c r="F8" s="3">
        <v>5</v>
      </c>
      <c r="G8" s="3">
        <v>4</v>
      </c>
      <c r="H8" s="6">
        <f>IF(COUNTIF(C2:C233, 7) &gt; 0, 0, 4)</f>
        <v>4</v>
      </c>
      <c r="L8" s="11" t="s">
        <v>13</v>
      </c>
      <c r="M8" s="5"/>
      <c r="N8" s="12">
        <v>5</v>
      </c>
      <c r="O8" s="12">
        <v>5</v>
      </c>
      <c r="P8" s="12">
        <v>10</v>
      </c>
      <c r="U8" s="2">
        <v>10</v>
      </c>
    </row>
    <row r="9" spans="1:21" x14ac:dyDescent="0.3">
      <c r="A9" s="2" t="s">
        <v>14</v>
      </c>
      <c r="B9" s="3">
        <v>8</v>
      </c>
      <c r="C9" s="4" t="s">
        <v>15</v>
      </c>
      <c r="D9" s="5" t="s">
        <v>16</v>
      </c>
      <c r="E9" s="3" t="s">
        <v>18</v>
      </c>
      <c r="F9" s="3">
        <v>2</v>
      </c>
      <c r="G9" s="3">
        <v>0</v>
      </c>
      <c r="H9" s="6">
        <f>IF(COUNTIF(C2:C233, 8) &gt; 0, 0, 0)</f>
        <v>0</v>
      </c>
      <c r="U9" s="2">
        <v>11</v>
      </c>
    </row>
    <row r="10" spans="1:21" x14ac:dyDescent="0.3">
      <c r="A10" s="2" t="s">
        <v>14</v>
      </c>
      <c r="B10" s="3">
        <v>9</v>
      </c>
      <c r="C10" s="4" t="s">
        <v>15</v>
      </c>
      <c r="D10" s="5" t="s">
        <v>16</v>
      </c>
      <c r="E10" s="3" t="s">
        <v>18</v>
      </c>
      <c r="F10" s="3">
        <v>4</v>
      </c>
      <c r="G10" s="3">
        <v>0</v>
      </c>
      <c r="H10" s="6">
        <f>IF(COUNTIF(C2:C233, 9) &gt; 0, 0, 0)</f>
        <v>0</v>
      </c>
      <c r="U10" s="2">
        <v>12</v>
      </c>
    </row>
    <row r="11" spans="1:21" x14ac:dyDescent="0.3">
      <c r="A11" s="2" t="s">
        <v>14</v>
      </c>
      <c r="B11" s="3">
        <v>10</v>
      </c>
      <c r="C11" s="4" t="s">
        <v>15</v>
      </c>
      <c r="D11" s="5" t="s">
        <v>16</v>
      </c>
      <c r="E11" s="3" t="s">
        <v>18</v>
      </c>
      <c r="F11" s="3">
        <v>2</v>
      </c>
      <c r="G11" s="3">
        <v>2</v>
      </c>
      <c r="H11" s="6">
        <f>IF(COUNTIF(C2:C233, 10) &gt; 0, 0, 2)</f>
        <v>2</v>
      </c>
      <c r="U11" s="2">
        <v>13</v>
      </c>
    </row>
    <row r="12" spans="1:21" x14ac:dyDescent="0.3">
      <c r="A12" s="2" t="s">
        <v>14</v>
      </c>
      <c r="B12" s="3">
        <v>11</v>
      </c>
      <c r="C12" s="4" t="s">
        <v>15</v>
      </c>
      <c r="D12" s="5" t="s">
        <v>16</v>
      </c>
      <c r="E12" s="3" t="s">
        <v>18</v>
      </c>
      <c r="F12" s="3">
        <v>2</v>
      </c>
      <c r="G12" s="3">
        <v>0</v>
      </c>
      <c r="H12" s="6">
        <f>IF(COUNTIF(C2:C233, 11) &gt; 0, 0, 0)</f>
        <v>0</v>
      </c>
      <c r="U12" s="2">
        <v>14</v>
      </c>
    </row>
    <row r="13" spans="1:21" x14ac:dyDescent="0.3">
      <c r="A13" s="2" t="s">
        <v>14</v>
      </c>
      <c r="B13" s="3">
        <v>12</v>
      </c>
      <c r="C13" s="4" t="s">
        <v>15</v>
      </c>
      <c r="D13" s="5" t="s">
        <v>16</v>
      </c>
      <c r="E13" s="3" t="s">
        <v>18</v>
      </c>
      <c r="F13" s="3">
        <v>4</v>
      </c>
      <c r="G13" s="3">
        <v>0</v>
      </c>
      <c r="H13" s="6">
        <f>IF(COUNTIF(C2:C233, 12) &gt; 0, 0, 0)</f>
        <v>0</v>
      </c>
      <c r="U13" s="2">
        <v>15</v>
      </c>
    </row>
    <row r="14" spans="1:21" x14ac:dyDescent="0.3">
      <c r="A14" s="2" t="s">
        <v>14</v>
      </c>
      <c r="B14" s="3">
        <v>13</v>
      </c>
      <c r="C14" s="4" t="s">
        <v>15</v>
      </c>
      <c r="D14" s="5" t="s">
        <v>16</v>
      </c>
      <c r="E14" s="3" t="s">
        <v>18</v>
      </c>
      <c r="F14" s="3">
        <v>3</v>
      </c>
      <c r="G14" s="3">
        <v>2</v>
      </c>
      <c r="H14" s="6">
        <f>IF(COUNTIF(C2:C233, 13) &gt; 0, 0, 2)</f>
        <v>2</v>
      </c>
      <c r="J14" t="e">
        <f ca="1">IF(CELL("address",INDEX($M$7:$M$8,MATCH(C4,$M$7:$M$8,0))), 1,0 )</f>
        <v>#N/A</v>
      </c>
      <c r="U14" s="2">
        <v>16</v>
      </c>
    </row>
    <row r="15" spans="1:21" x14ac:dyDescent="0.3">
      <c r="A15" s="2" t="s">
        <v>14</v>
      </c>
      <c r="B15" s="3">
        <v>14</v>
      </c>
      <c r="C15" s="4" t="s">
        <v>15</v>
      </c>
      <c r="D15" s="5" t="s">
        <v>16</v>
      </c>
      <c r="E15" s="3" t="s">
        <v>18</v>
      </c>
      <c r="F15" s="3">
        <v>4</v>
      </c>
      <c r="G15" s="3">
        <v>2</v>
      </c>
      <c r="H15" s="6">
        <f>IF(COUNTIF(C2:C233, 14) &gt; 0, 0, 2)</f>
        <v>2</v>
      </c>
      <c r="J15" t="e">
        <f>IF(INT(MATCH(C4,$M$7:$M$8,0)) =MATCH(C4,$M$7:$M$8,0), 500,0 )</f>
        <v>#N/A</v>
      </c>
      <c r="U15" s="2">
        <v>17</v>
      </c>
    </row>
    <row r="16" spans="1:21" x14ac:dyDescent="0.3">
      <c r="A16" s="2" t="s">
        <v>14</v>
      </c>
      <c r="B16" s="3">
        <v>15</v>
      </c>
      <c r="C16" s="4" t="s">
        <v>15</v>
      </c>
      <c r="D16" s="5" t="s">
        <v>16</v>
      </c>
      <c r="E16" s="3" t="s">
        <v>18</v>
      </c>
      <c r="F16" s="3">
        <v>3</v>
      </c>
      <c r="G16" s="3">
        <v>2</v>
      </c>
      <c r="H16" s="6">
        <f>IF(COUNTIF(C2:C233, 15) &gt; 0, 0, 2)</f>
        <v>2</v>
      </c>
      <c r="U16" s="2">
        <v>18</v>
      </c>
    </row>
    <row r="17" spans="1:21" x14ac:dyDescent="0.3">
      <c r="A17" s="2" t="s">
        <v>14</v>
      </c>
      <c r="B17" s="3">
        <v>16</v>
      </c>
      <c r="C17" s="4" t="s">
        <v>15</v>
      </c>
      <c r="D17" s="5" t="s">
        <v>16</v>
      </c>
      <c r="E17" s="3" t="s">
        <v>18</v>
      </c>
      <c r="F17" s="3">
        <v>6</v>
      </c>
      <c r="G17" s="3">
        <v>0</v>
      </c>
      <c r="H17" s="6">
        <f>IF(COUNTIF(C2:C233, 16) &gt; 0, 0, 0)</f>
        <v>0</v>
      </c>
      <c r="J17" t="b">
        <f xml:space="preserve"> INT(1) = 1</f>
        <v>1</v>
      </c>
      <c r="U17" s="2">
        <v>19</v>
      </c>
    </row>
    <row r="18" spans="1:21" x14ac:dyDescent="0.3">
      <c r="A18" s="2" t="s">
        <v>14</v>
      </c>
      <c r="B18" s="3">
        <v>17</v>
      </c>
      <c r="C18" s="4" t="s">
        <v>15</v>
      </c>
      <c r="D18" s="5" t="s">
        <v>16</v>
      </c>
      <c r="E18" s="3" t="s">
        <v>18</v>
      </c>
      <c r="F18" s="3">
        <v>2</v>
      </c>
      <c r="G18" s="3">
        <v>2</v>
      </c>
      <c r="H18" s="6">
        <f>IF(COUNTIF(C2:C233, 17) &gt; 0, 0, 2)</f>
        <v>2</v>
      </c>
      <c r="K18" t="b">
        <f>ISNA(MATCH(C4,$M$7:$M$8,0))</f>
        <v>1</v>
      </c>
      <c r="U18" s="2">
        <v>20</v>
      </c>
    </row>
    <row r="19" spans="1:21" x14ac:dyDescent="0.3">
      <c r="A19" s="2" t="s">
        <v>14</v>
      </c>
      <c r="B19" s="3">
        <v>18</v>
      </c>
      <c r="C19" s="4" t="s">
        <v>15</v>
      </c>
      <c r="D19" s="5" t="s">
        <v>16</v>
      </c>
      <c r="E19" s="3" t="s">
        <v>18</v>
      </c>
      <c r="F19" s="3">
        <v>4</v>
      </c>
      <c r="G19" s="3">
        <v>0</v>
      </c>
      <c r="H19" s="6">
        <f>IF(COUNTIF(C2:C233, 18) &gt; 0, 0, 0)</f>
        <v>0</v>
      </c>
      <c r="J19">
        <f ca="1">IF(COUNTIF(M7:M8, 3) &gt; 0, 9+INDIRECT("O"&amp;MATCH(3,M7:M8,0)+6), 9)</f>
        <v>9</v>
      </c>
      <c r="K19">
        <f ca="1">IF(COUNTIF(M7:M8, 3) &gt; 0, 14+INDIRECT("P"&amp;MATCH(3,M7:M8,0)+6), 14)</f>
        <v>14</v>
      </c>
      <c r="L19">
        <f ca="1">IF(COUNTIF(C2:C233, 3) &gt; 0, 0,IF(COUNTIF(M7:M8, 3) &gt; 0, 14+INDIRECT("P"&amp;MATCH(3,M7:M8,0)+6), 14))</f>
        <v>14</v>
      </c>
      <c r="U19" s="2">
        <v>21</v>
      </c>
    </row>
    <row r="20" spans="1:21" x14ac:dyDescent="0.3">
      <c r="A20" s="2" t="s">
        <v>14</v>
      </c>
      <c r="B20" s="3">
        <v>19</v>
      </c>
      <c r="C20" s="4" t="s">
        <v>15</v>
      </c>
      <c r="D20" s="5" t="s">
        <v>16</v>
      </c>
      <c r="E20" s="3" t="s">
        <v>18</v>
      </c>
      <c r="F20" s="3">
        <v>2</v>
      </c>
      <c r="G20" s="3">
        <v>4</v>
      </c>
      <c r="H20" s="6">
        <f>IF(COUNTIF(C2:C233, 19) &gt; 0, 0, 4)</f>
        <v>4</v>
      </c>
      <c r="U20" s="2">
        <v>22</v>
      </c>
    </row>
    <row r="21" spans="1:21" x14ac:dyDescent="0.3">
      <c r="A21" s="2" t="s">
        <v>14</v>
      </c>
      <c r="B21" s="3">
        <v>20</v>
      </c>
      <c r="C21" s="4" t="s">
        <v>15</v>
      </c>
      <c r="D21" s="5" t="s">
        <v>16</v>
      </c>
      <c r="E21" s="3" t="s">
        <v>18</v>
      </c>
      <c r="F21" s="3">
        <v>5</v>
      </c>
      <c r="G21" s="3">
        <v>0</v>
      </c>
      <c r="H21" s="6">
        <f>IF(COUNTIF(C2:C233, 20) &gt; 0, 0, 0)</f>
        <v>0</v>
      </c>
      <c r="U21" s="2">
        <v>23</v>
      </c>
    </row>
    <row r="22" spans="1:21" x14ac:dyDescent="0.3">
      <c r="A22" s="2" t="s">
        <v>14</v>
      </c>
      <c r="B22" s="3">
        <v>21</v>
      </c>
      <c r="C22" s="4" t="s">
        <v>15</v>
      </c>
      <c r="D22" s="5" t="s">
        <v>16</v>
      </c>
      <c r="E22" s="3" t="s">
        <v>18</v>
      </c>
      <c r="F22" s="3">
        <v>2</v>
      </c>
      <c r="G22" s="3">
        <v>2</v>
      </c>
      <c r="H22" s="6">
        <f>IF(COUNTIF(C2:C233, 21) &gt; 0, 0, 2)</f>
        <v>2</v>
      </c>
      <c r="U22" s="2">
        <v>24</v>
      </c>
    </row>
    <row r="23" spans="1:21" x14ac:dyDescent="0.3">
      <c r="A23" s="2" t="s">
        <v>14</v>
      </c>
      <c r="B23" s="3">
        <v>22</v>
      </c>
      <c r="C23" s="4" t="s">
        <v>15</v>
      </c>
      <c r="D23" s="5" t="s">
        <v>16</v>
      </c>
      <c r="E23" s="3" t="s">
        <v>18</v>
      </c>
      <c r="F23" s="3">
        <v>1</v>
      </c>
      <c r="G23" s="3">
        <v>4</v>
      </c>
      <c r="H23" s="6">
        <f>IF(COUNTIF(C2:C233, 22) &gt; 0, 0, 4)</f>
        <v>4</v>
      </c>
      <c r="U23" s="2">
        <v>25</v>
      </c>
    </row>
    <row r="24" spans="1:21" x14ac:dyDescent="0.3">
      <c r="A24" s="2" t="s">
        <v>14</v>
      </c>
      <c r="B24" s="3">
        <v>23</v>
      </c>
      <c r="C24" s="4" t="s">
        <v>15</v>
      </c>
      <c r="D24" s="5" t="s">
        <v>16</v>
      </c>
      <c r="E24" s="3" t="s">
        <v>18</v>
      </c>
      <c r="F24" s="3">
        <v>1</v>
      </c>
      <c r="G24" s="3">
        <v>4</v>
      </c>
      <c r="H24" s="6">
        <f>IF(COUNTIF(C2:C233, 23) &gt; 0, 0, 4)</f>
        <v>4</v>
      </c>
      <c r="U24" s="2">
        <v>26</v>
      </c>
    </row>
    <row r="25" spans="1:21" x14ac:dyDescent="0.3">
      <c r="A25" s="2" t="s">
        <v>14</v>
      </c>
      <c r="B25" s="3">
        <v>24</v>
      </c>
      <c r="C25" s="4" t="s">
        <v>15</v>
      </c>
      <c r="D25" s="5" t="s">
        <v>16</v>
      </c>
      <c r="E25" s="3" t="s">
        <v>18</v>
      </c>
      <c r="F25" s="3">
        <v>4</v>
      </c>
      <c r="G25" s="3">
        <v>0</v>
      </c>
      <c r="H25" s="6">
        <f>IF(COUNTIF(C2:C233, 24) &gt; 0, 0, 0)</f>
        <v>0</v>
      </c>
      <c r="U25" s="2">
        <v>27</v>
      </c>
    </row>
    <row r="26" spans="1:21" x14ac:dyDescent="0.3">
      <c r="A26" s="2" t="s">
        <v>14</v>
      </c>
      <c r="B26" s="3">
        <v>25</v>
      </c>
      <c r="C26" s="4" t="s">
        <v>15</v>
      </c>
      <c r="D26" s="5" t="s">
        <v>16</v>
      </c>
      <c r="E26" s="3" t="s">
        <v>18</v>
      </c>
      <c r="F26" s="3">
        <v>3</v>
      </c>
      <c r="G26" s="3">
        <v>2</v>
      </c>
      <c r="H26" s="6">
        <f>IF(COUNTIF(C2:C233, 25) &gt; 0, 0, 2)</f>
        <v>2</v>
      </c>
      <c r="U26" s="2">
        <v>28</v>
      </c>
    </row>
    <row r="27" spans="1:21" x14ac:dyDescent="0.3">
      <c r="A27" s="2" t="s">
        <v>14</v>
      </c>
      <c r="B27" s="3">
        <v>26</v>
      </c>
      <c r="C27" s="4" t="s">
        <v>15</v>
      </c>
      <c r="D27" s="5" t="s">
        <v>16</v>
      </c>
      <c r="E27" s="3" t="s">
        <v>18</v>
      </c>
      <c r="F27" s="3">
        <v>3</v>
      </c>
      <c r="G27" s="3">
        <v>2</v>
      </c>
      <c r="H27" s="6">
        <f>IF(COUNTIF(C2:C233, 26) &gt; 0, 0, 2)</f>
        <v>2</v>
      </c>
      <c r="U27" s="2">
        <v>29</v>
      </c>
    </row>
    <row r="28" spans="1:21" x14ac:dyDescent="0.3">
      <c r="A28" s="2" t="s">
        <v>14</v>
      </c>
      <c r="B28" s="3">
        <v>27</v>
      </c>
      <c r="C28" s="4" t="s">
        <v>15</v>
      </c>
      <c r="D28" s="5" t="s">
        <v>16</v>
      </c>
      <c r="E28" s="3" t="s">
        <v>18</v>
      </c>
      <c r="F28" s="3">
        <v>1</v>
      </c>
      <c r="G28" s="3">
        <v>4</v>
      </c>
      <c r="H28" s="6">
        <f>IF(COUNTIF(C2:C233, 27) &gt; 0, 0, 4)</f>
        <v>4</v>
      </c>
      <c r="U28" s="2">
        <v>30</v>
      </c>
    </row>
    <row r="29" spans="1:21" x14ac:dyDescent="0.3">
      <c r="A29" s="2" t="s">
        <v>14</v>
      </c>
      <c r="B29" s="3">
        <v>28</v>
      </c>
      <c r="C29" s="4" t="s">
        <v>15</v>
      </c>
      <c r="D29" s="5" t="s">
        <v>16</v>
      </c>
      <c r="E29" s="3" t="s">
        <v>18</v>
      </c>
      <c r="F29" s="3">
        <v>2</v>
      </c>
      <c r="G29" s="3">
        <v>4</v>
      </c>
      <c r="H29" s="6">
        <f>IF(COUNTIF(C2:C233, 28) &gt; 0, 0, 4)</f>
        <v>4</v>
      </c>
      <c r="U29" s="2">
        <v>31</v>
      </c>
    </row>
    <row r="30" spans="1:21" x14ac:dyDescent="0.3">
      <c r="A30" s="2" t="s">
        <v>14</v>
      </c>
      <c r="B30" s="3">
        <v>29</v>
      </c>
      <c r="C30" s="4" t="s">
        <v>15</v>
      </c>
      <c r="D30" s="5" t="s">
        <v>16</v>
      </c>
      <c r="E30" s="3" t="s">
        <v>18</v>
      </c>
      <c r="F30" s="3">
        <v>4</v>
      </c>
      <c r="G30" s="3">
        <v>0</v>
      </c>
      <c r="H30" s="6">
        <f>IF(COUNTIF(C2:C233, 29) &gt; 0, 0, 0)</f>
        <v>0</v>
      </c>
      <c r="U30" s="2">
        <v>32</v>
      </c>
    </row>
    <row r="31" spans="1:21" x14ac:dyDescent="0.3">
      <c r="A31" s="2" t="s">
        <v>14</v>
      </c>
      <c r="B31" s="3">
        <v>30</v>
      </c>
      <c r="C31" s="4" t="s">
        <v>15</v>
      </c>
      <c r="D31" s="5" t="s">
        <v>16</v>
      </c>
      <c r="E31" s="3" t="s">
        <v>18</v>
      </c>
      <c r="F31" s="3">
        <v>2</v>
      </c>
      <c r="G31" s="3">
        <v>2</v>
      </c>
      <c r="H31" s="6">
        <f>IF(COUNTIF(C2:C233, 30) &gt; 0, 0, 2)</f>
        <v>2</v>
      </c>
      <c r="U31" s="2">
        <v>33</v>
      </c>
    </row>
    <row r="32" spans="1:21" x14ac:dyDescent="0.3">
      <c r="A32" s="2" t="s">
        <v>14</v>
      </c>
      <c r="B32" s="3">
        <v>31</v>
      </c>
      <c r="C32" s="4" t="s">
        <v>15</v>
      </c>
      <c r="D32" s="5" t="s">
        <v>16</v>
      </c>
      <c r="E32" s="3" t="s">
        <v>18</v>
      </c>
      <c r="F32" s="3">
        <v>4</v>
      </c>
      <c r="G32" s="3">
        <v>0</v>
      </c>
      <c r="H32" s="6">
        <f>IF(COUNTIF(C2:C233, 31) &gt; 0, 0, 0)</f>
        <v>0</v>
      </c>
      <c r="U32" s="2">
        <v>34</v>
      </c>
    </row>
    <row r="33" spans="1:21" x14ac:dyDescent="0.3">
      <c r="A33" s="2" t="s">
        <v>14</v>
      </c>
      <c r="B33" s="3">
        <v>32</v>
      </c>
      <c r="C33" s="4" t="s">
        <v>15</v>
      </c>
      <c r="D33" s="5" t="s">
        <v>16</v>
      </c>
      <c r="E33" s="3" t="s">
        <v>18</v>
      </c>
      <c r="F33" s="3">
        <v>0</v>
      </c>
      <c r="G33" s="3">
        <v>4</v>
      </c>
      <c r="H33" s="6">
        <f>IF(COUNTIF(C2:C233, 32) &gt; 0, 0, 4)</f>
        <v>4</v>
      </c>
      <c r="U33" s="2">
        <v>36</v>
      </c>
    </row>
    <row r="34" spans="1:21" x14ac:dyDescent="0.3">
      <c r="A34" s="2" t="s">
        <v>14</v>
      </c>
      <c r="B34" s="3">
        <v>33</v>
      </c>
      <c r="C34" s="4" t="s">
        <v>15</v>
      </c>
      <c r="D34" s="5" t="s">
        <v>16</v>
      </c>
      <c r="E34" s="3" t="s">
        <v>18</v>
      </c>
      <c r="F34" s="3">
        <v>0</v>
      </c>
      <c r="G34" s="3">
        <v>4</v>
      </c>
      <c r="H34" s="6">
        <f>IF(COUNTIF(C2:C233, 33) &gt; 0, 0, 4)</f>
        <v>4</v>
      </c>
      <c r="U34" s="2">
        <v>39</v>
      </c>
    </row>
    <row r="35" spans="1:21" x14ac:dyDescent="0.3">
      <c r="A35" s="2" t="s">
        <v>14</v>
      </c>
      <c r="B35" s="3">
        <v>34</v>
      </c>
      <c r="C35" s="4" t="s">
        <v>15</v>
      </c>
      <c r="D35" s="5" t="s">
        <v>16</v>
      </c>
      <c r="E35" s="3" t="s">
        <v>18</v>
      </c>
      <c r="F35" s="3">
        <v>0</v>
      </c>
      <c r="G35" s="3">
        <v>4</v>
      </c>
      <c r="H35" s="6">
        <f>IF(COUNTIF(C2:C233, 34) &gt; 0, 0, 4)</f>
        <v>4</v>
      </c>
      <c r="U35" s="2">
        <v>40</v>
      </c>
    </row>
    <row r="36" spans="1:21" x14ac:dyDescent="0.3">
      <c r="A36" s="7" t="s">
        <v>17</v>
      </c>
      <c r="B36" s="7">
        <v>35</v>
      </c>
      <c r="C36" s="8"/>
      <c r="D36" s="8"/>
      <c r="E36" s="9">
        <f>C36</f>
        <v>0</v>
      </c>
      <c r="F36" s="10">
        <v>0</v>
      </c>
      <c r="G36" s="10">
        <v>0</v>
      </c>
      <c r="H36" s="9">
        <f ca="1">IF(ISBLANK(C36), 0, INDIRECT("G"&amp; C36+1))</f>
        <v>0</v>
      </c>
      <c r="U36" s="2">
        <v>42</v>
      </c>
    </row>
    <row r="37" spans="1:21" x14ac:dyDescent="0.3">
      <c r="A37" s="2" t="s">
        <v>14</v>
      </c>
      <c r="B37" s="3">
        <v>36</v>
      </c>
      <c r="C37" s="4" t="s">
        <v>15</v>
      </c>
      <c r="D37" s="5" t="s">
        <v>16</v>
      </c>
      <c r="E37" s="3" t="s">
        <v>18</v>
      </c>
      <c r="F37" s="3">
        <v>0</v>
      </c>
      <c r="G37" s="3">
        <v>4</v>
      </c>
      <c r="H37" s="6">
        <f>IF(COUNTIF(C2:C233, 36) &gt; 0, 0, 4)</f>
        <v>4</v>
      </c>
      <c r="U37" s="2">
        <v>43</v>
      </c>
    </row>
    <row r="38" spans="1:21" x14ac:dyDescent="0.3">
      <c r="A38" s="7" t="s">
        <v>17</v>
      </c>
      <c r="B38" s="7">
        <v>37</v>
      </c>
      <c r="C38" s="8"/>
      <c r="D38" s="8"/>
      <c r="E38" s="9">
        <f>C38</f>
        <v>0</v>
      </c>
      <c r="F38" s="10">
        <v>0</v>
      </c>
      <c r="G38" s="10">
        <v>0</v>
      </c>
      <c r="H38" s="9">
        <f ca="1">IF(ISBLANK(C38), 0, INDIRECT("G"&amp; C38+1))</f>
        <v>0</v>
      </c>
      <c r="U38" s="2">
        <v>44</v>
      </c>
    </row>
    <row r="39" spans="1:21" x14ac:dyDescent="0.3">
      <c r="A39" s="7" t="s">
        <v>17</v>
      </c>
      <c r="B39" s="7">
        <v>38</v>
      </c>
      <c r="C39" s="8"/>
      <c r="D39" s="8"/>
      <c r="E39" s="9">
        <f>C39</f>
        <v>0</v>
      </c>
      <c r="F39" s="10">
        <v>0</v>
      </c>
      <c r="G39" s="10">
        <v>0</v>
      </c>
      <c r="H39" s="9">
        <f ca="1">IF(ISBLANK(C39), 0, INDIRECT("G"&amp; C39+1))</f>
        <v>0</v>
      </c>
      <c r="U39" s="2">
        <v>46</v>
      </c>
    </row>
    <row r="40" spans="1:21" x14ac:dyDescent="0.3">
      <c r="A40" s="2" t="s">
        <v>14</v>
      </c>
      <c r="B40" s="3">
        <v>39</v>
      </c>
      <c r="C40" s="4" t="s">
        <v>15</v>
      </c>
      <c r="D40" s="5" t="s">
        <v>16</v>
      </c>
      <c r="E40" s="3" t="s">
        <v>18</v>
      </c>
      <c r="F40" s="3">
        <v>0</v>
      </c>
      <c r="G40" s="3">
        <v>4</v>
      </c>
      <c r="H40" s="6">
        <f>IF(COUNTIF(C2:C233, 39) &gt; 0, 0, 4)</f>
        <v>4</v>
      </c>
      <c r="U40" s="2">
        <v>48</v>
      </c>
    </row>
    <row r="41" spans="1:21" x14ac:dyDescent="0.3">
      <c r="A41" s="2" t="s">
        <v>14</v>
      </c>
      <c r="B41" s="3">
        <v>40</v>
      </c>
      <c r="C41" s="4" t="s">
        <v>15</v>
      </c>
      <c r="D41" s="5" t="s">
        <v>16</v>
      </c>
      <c r="E41" s="3" t="s">
        <v>18</v>
      </c>
      <c r="F41" s="3">
        <v>0</v>
      </c>
      <c r="G41" s="3">
        <v>4</v>
      </c>
      <c r="H41" s="6">
        <f>IF(COUNTIF(C2:C233, 40) &gt; 0, 0, 4)</f>
        <v>4</v>
      </c>
      <c r="U41" s="2">
        <v>50</v>
      </c>
    </row>
    <row r="42" spans="1:21" x14ac:dyDescent="0.3">
      <c r="A42" s="7" t="s">
        <v>17</v>
      </c>
      <c r="B42" s="7">
        <v>41</v>
      </c>
      <c r="C42" s="8"/>
      <c r="D42" s="8"/>
      <c r="E42" s="9">
        <f>C42</f>
        <v>0</v>
      </c>
      <c r="F42" s="10">
        <v>0</v>
      </c>
      <c r="G42" s="10">
        <v>0</v>
      </c>
      <c r="H42" s="9">
        <f ca="1">IF(ISBLANK(C42), 0, INDIRECT("G"&amp; C42+1))</f>
        <v>0</v>
      </c>
      <c r="U42" s="2">
        <v>53</v>
      </c>
    </row>
    <row r="43" spans="1:21" x14ac:dyDescent="0.3">
      <c r="A43" s="2" t="s">
        <v>14</v>
      </c>
      <c r="B43" s="3">
        <v>42</v>
      </c>
      <c r="C43" s="4" t="s">
        <v>15</v>
      </c>
      <c r="D43" s="5" t="s">
        <v>16</v>
      </c>
      <c r="E43" s="3" t="s">
        <v>18</v>
      </c>
      <c r="F43" s="3">
        <v>0</v>
      </c>
      <c r="G43" s="3">
        <v>4</v>
      </c>
      <c r="H43" s="6">
        <f>IF(COUNTIF(C2:C233, 42) &gt; 0, 0, 4)</f>
        <v>4</v>
      </c>
      <c r="U43" s="2">
        <v>55</v>
      </c>
    </row>
    <row r="44" spans="1:21" x14ac:dyDescent="0.3">
      <c r="A44" s="2" t="s">
        <v>14</v>
      </c>
      <c r="B44" s="3">
        <v>43</v>
      </c>
      <c r="C44" s="4" t="s">
        <v>15</v>
      </c>
      <c r="D44" s="5" t="s">
        <v>16</v>
      </c>
      <c r="E44" s="3" t="s">
        <v>18</v>
      </c>
      <c r="F44" s="3">
        <v>0</v>
      </c>
      <c r="G44" s="3">
        <v>4</v>
      </c>
      <c r="H44" s="6">
        <f>IF(COUNTIF(C2:C233, 43) &gt; 0, 0, 4)</f>
        <v>4</v>
      </c>
      <c r="U44" s="2">
        <v>56</v>
      </c>
    </row>
    <row r="45" spans="1:21" x14ac:dyDescent="0.3">
      <c r="A45" s="2" t="s">
        <v>14</v>
      </c>
      <c r="B45" s="3">
        <v>44</v>
      </c>
      <c r="C45" s="4" t="s">
        <v>15</v>
      </c>
      <c r="D45" s="5" t="s">
        <v>16</v>
      </c>
      <c r="E45" s="3" t="s">
        <v>18</v>
      </c>
      <c r="F45" s="3">
        <v>0</v>
      </c>
      <c r="G45" s="3">
        <v>4</v>
      </c>
      <c r="H45" s="6">
        <f>IF(COUNTIF(C2:C233, 44) &gt; 0, 0, 4)</f>
        <v>4</v>
      </c>
      <c r="U45" s="2">
        <v>57</v>
      </c>
    </row>
    <row r="46" spans="1:21" x14ac:dyDescent="0.3">
      <c r="A46" s="7" t="s">
        <v>17</v>
      </c>
      <c r="B46" s="7">
        <v>45</v>
      </c>
      <c r="C46" s="8"/>
      <c r="D46" s="8"/>
      <c r="E46" s="9">
        <f>C46</f>
        <v>0</v>
      </c>
      <c r="F46" s="10">
        <v>0</v>
      </c>
      <c r="G46" s="10">
        <v>0</v>
      </c>
      <c r="H46" s="9">
        <f ca="1">IF(ISBLANK(C46), 0, INDIRECT("G"&amp; C46+1))</f>
        <v>0</v>
      </c>
      <c r="U46" s="2">
        <v>59</v>
      </c>
    </row>
    <row r="47" spans="1:21" x14ac:dyDescent="0.3">
      <c r="A47" s="2" t="s">
        <v>14</v>
      </c>
      <c r="B47" s="3">
        <v>46</v>
      </c>
      <c r="C47" s="4" t="s">
        <v>15</v>
      </c>
      <c r="D47" s="5" t="s">
        <v>16</v>
      </c>
      <c r="E47" s="3" t="s">
        <v>18</v>
      </c>
      <c r="F47" s="3">
        <v>0</v>
      </c>
      <c r="G47" s="3">
        <v>4</v>
      </c>
      <c r="H47" s="6">
        <f>IF(COUNTIF(C2:C233, 46) &gt; 0, 0, 4)</f>
        <v>4</v>
      </c>
      <c r="U47" s="2">
        <v>61</v>
      </c>
    </row>
    <row r="48" spans="1:21" x14ac:dyDescent="0.3">
      <c r="A48" s="7" t="s">
        <v>17</v>
      </c>
      <c r="B48" s="7">
        <v>47</v>
      </c>
      <c r="C48" s="8"/>
      <c r="D48" s="8"/>
      <c r="E48" s="9">
        <f>C48</f>
        <v>0</v>
      </c>
      <c r="F48" s="10">
        <v>0</v>
      </c>
      <c r="G48" s="10">
        <v>0</v>
      </c>
      <c r="H48" s="9">
        <f ca="1">IF(ISBLANK(C48), 0, INDIRECT("G"&amp; C48+1))</f>
        <v>0</v>
      </c>
      <c r="U48" s="2">
        <v>63</v>
      </c>
    </row>
    <row r="49" spans="1:21" x14ac:dyDescent="0.3">
      <c r="A49" s="2" t="s">
        <v>14</v>
      </c>
      <c r="B49" s="3">
        <v>48</v>
      </c>
      <c r="C49" s="4" t="s">
        <v>15</v>
      </c>
      <c r="D49" s="5" t="s">
        <v>16</v>
      </c>
      <c r="E49" s="3" t="s">
        <v>18</v>
      </c>
      <c r="F49" s="3">
        <v>0</v>
      </c>
      <c r="G49" s="3">
        <v>4</v>
      </c>
      <c r="H49" s="6">
        <f>IF(COUNTIF(C2:C233, 48) &gt; 0, 0, 4)</f>
        <v>4</v>
      </c>
      <c r="U49" s="2">
        <v>64</v>
      </c>
    </row>
    <row r="50" spans="1:21" x14ac:dyDescent="0.3">
      <c r="A50" s="7" t="s">
        <v>17</v>
      </c>
      <c r="B50" s="7">
        <v>49</v>
      </c>
      <c r="C50" s="8"/>
      <c r="D50" s="8"/>
      <c r="E50" s="9">
        <f>C50</f>
        <v>0</v>
      </c>
      <c r="F50" s="10">
        <v>0</v>
      </c>
      <c r="G50" s="10">
        <v>0</v>
      </c>
      <c r="H50" s="9">
        <f ca="1">IF(ISBLANK(C50), 0, INDIRECT("G"&amp; C50+1))</f>
        <v>0</v>
      </c>
      <c r="U50" s="2">
        <v>66</v>
      </c>
    </row>
    <row r="51" spans="1:21" x14ac:dyDescent="0.3">
      <c r="A51" s="2" t="s">
        <v>14</v>
      </c>
      <c r="B51" s="3">
        <v>50</v>
      </c>
      <c r="C51" s="4" t="s">
        <v>15</v>
      </c>
      <c r="D51" s="5" t="s">
        <v>16</v>
      </c>
      <c r="E51" s="3" t="s">
        <v>18</v>
      </c>
      <c r="F51" s="3">
        <v>0</v>
      </c>
      <c r="G51" s="3">
        <v>4</v>
      </c>
      <c r="H51" s="6">
        <f>IF(COUNTIF(C2:C233, 50) &gt; 0, 0, 4)</f>
        <v>4</v>
      </c>
      <c r="U51" s="2">
        <v>67</v>
      </c>
    </row>
    <row r="52" spans="1:21" x14ac:dyDescent="0.3">
      <c r="A52" s="7" t="s">
        <v>17</v>
      </c>
      <c r="B52" s="7">
        <v>51</v>
      </c>
      <c r="C52" s="8"/>
      <c r="D52" s="8"/>
      <c r="E52" s="9">
        <f>C52</f>
        <v>0</v>
      </c>
      <c r="F52" s="10">
        <v>0</v>
      </c>
      <c r="G52" s="10">
        <v>0</v>
      </c>
      <c r="H52" s="9">
        <f ca="1">IF(ISBLANK(C52), 0, INDIRECT("G"&amp; C52+1))</f>
        <v>0</v>
      </c>
      <c r="U52" s="2">
        <v>69</v>
      </c>
    </row>
    <row r="53" spans="1:21" x14ac:dyDescent="0.3">
      <c r="A53" s="7" t="s">
        <v>17</v>
      </c>
      <c r="B53" s="7">
        <v>52</v>
      </c>
      <c r="C53" s="8"/>
      <c r="D53" s="8"/>
      <c r="E53" s="9">
        <f>C53</f>
        <v>0</v>
      </c>
      <c r="F53" s="10">
        <v>0</v>
      </c>
      <c r="G53" s="10">
        <v>0</v>
      </c>
      <c r="H53" s="9">
        <f ca="1">IF(ISBLANK(C53), 0, INDIRECT("G"&amp; C53+1))</f>
        <v>0</v>
      </c>
      <c r="U53" s="2">
        <v>70</v>
      </c>
    </row>
    <row r="54" spans="1:21" x14ac:dyDescent="0.3">
      <c r="A54" s="2" t="s">
        <v>14</v>
      </c>
      <c r="B54" s="3">
        <v>53</v>
      </c>
      <c r="C54" s="4" t="s">
        <v>15</v>
      </c>
      <c r="D54" s="5" t="s">
        <v>16</v>
      </c>
      <c r="E54" s="3" t="s">
        <v>18</v>
      </c>
      <c r="F54" s="3">
        <v>0</v>
      </c>
      <c r="G54" s="3">
        <v>4</v>
      </c>
      <c r="H54" s="6">
        <f>IF(COUNTIF(C2:C233, 53) &gt; 0, 0, 4)</f>
        <v>4</v>
      </c>
      <c r="U54" s="2">
        <v>71</v>
      </c>
    </row>
    <row r="55" spans="1:21" x14ac:dyDescent="0.3">
      <c r="A55" s="7" t="s">
        <v>17</v>
      </c>
      <c r="B55" s="7">
        <v>54</v>
      </c>
      <c r="C55" s="8"/>
      <c r="D55" s="8"/>
      <c r="E55" s="9">
        <f>C55</f>
        <v>0</v>
      </c>
      <c r="F55" s="10">
        <v>0</v>
      </c>
      <c r="G55" s="10">
        <v>0</v>
      </c>
      <c r="H55" s="9">
        <f ca="1">IF(ISBLANK(C55), 0, INDIRECT("G"&amp; C55+1))</f>
        <v>0</v>
      </c>
      <c r="U55" s="2">
        <v>72</v>
      </c>
    </row>
    <row r="56" spans="1:21" x14ac:dyDescent="0.3">
      <c r="A56" s="2" t="s">
        <v>14</v>
      </c>
      <c r="B56" s="3">
        <v>55</v>
      </c>
      <c r="C56" s="4" t="s">
        <v>15</v>
      </c>
      <c r="D56" s="5" t="s">
        <v>16</v>
      </c>
      <c r="E56" s="3" t="s">
        <v>18</v>
      </c>
      <c r="F56" s="3">
        <v>0</v>
      </c>
      <c r="G56" s="3">
        <v>4</v>
      </c>
      <c r="H56" s="6">
        <f>IF(COUNTIF(C2:C233, 55) &gt; 0, 0, 4)</f>
        <v>4</v>
      </c>
      <c r="U56" s="2">
        <v>73</v>
      </c>
    </row>
    <row r="57" spans="1:21" x14ac:dyDescent="0.3">
      <c r="A57" s="2" t="s">
        <v>14</v>
      </c>
      <c r="B57" s="3">
        <v>56</v>
      </c>
      <c r="C57" s="4" t="s">
        <v>15</v>
      </c>
      <c r="D57" s="5" t="s">
        <v>16</v>
      </c>
      <c r="E57" s="3" t="s">
        <v>18</v>
      </c>
      <c r="F57" s="3">
        <v>0</v>
      </c>
      <c r="G57" s="3">
        <v>4</v>
      </c>
      <c r="H57" s="6">
        <f>IF(COUNTIF(C2:C233, 56) &gt; 0, 0, 4)</f>
        <v>4</v>
      </c>
      <c r="U57" s="2">
        <v>74</v>
      </c>
    </row>
    <row r="58" spans="1:21" x14ac:dyDescent="0.3">
      <c r="A58" s="2" t="s">
        <v>14</v>
      </c>
      <c r="B58" s="3">
        <v>57</v>
      </c>
      <c r="C58" s="4" t="s">
        <v>15</v>
      </c>
      <c r="D58" s="5" t="s">
        <v>16</v>
      </c>
      <c r="E58" s="3" t="s">
        <v>18</v>
      </c>
      <c r="F58" s="3">
        <v>0</v>
      </c>
      <c r="G58" s="3">
        <v>4</v>
      </c>
      <c r="H58" s="6">
        <f>IF(COUNTIF(C2:C233, 57) &gt; 0, 0, 4)</f>
        <v>4</v>
      </c>
      <c r="U58" s="2">
        <v>76</v>
      </c>
    </row>
    <row r="59" spans="1:21" x14ac:dyDescent="0.3">
      <c r="A59" s="7" t="s">
        <v>17</v>
      </c>
      <c r="B59" s="7">
        <v>58</v>
      </c>
      <c r="C59" s="8"/>
      <c r="D59" s="8"/>
      <c r="E59" s="9">
        <f>C59</f>
        <v>0</v>
      </c>
      <c r="F59" s="10">
        <v>0</v>
      </c>
      <c r="G59" s="10">
        <v>0</v>
      </c>
      <c r="H59" s="9">
        <f ca="1">IF(ISBLANK(C59), 0, INDIRECT("G"&amp; C59+1))</f>
        <v>0</v>
      </c>
      <c r="U59" s="2">
        <v>77</v>
      </c>
    </row>
    <row r="60" spans="1:21" x14ac:dyDescent="0.3">
      <c r="A60" s="2" t="s">
        <v>14</v>
      </c>
      <c r="B60" s="3">
        <v>59</v>
      </c>
      <c r="C60" s="4" t="s">
        <v>15</v>
      </c>
      <c r="D60" s="5" t="s">
        <v>16</v>
      </c>
      <c r="E60" s="3" t="s">
        <v>18</v>
      </c>
      <c r="F60" s="3">
        <v>0</v>
      </c>
      <c r="G60" s="3">
        <v>2</v>
      </c>
      <c r="H60" s="6">
        <f>IF(COUNTIF(C2:C233, 59) &gt; 0, 0, 2)</f>
        <v>2</v>
      </c>
      <c r="U60" s="2">
        <v>78</v>
      </c>
    </row>
    <row r="61" spans="1:21" x14ac:dyDescent="0.3">
      <c r="A61" s="7" t="s">
        <v>17</v>
      </c>
      <c r="B61" s="7">
        <v>60</v>
      </c>
      <c r="C61" s="8"/>
      <c r="D61" s="8"/>
      <c r="E61" s="9">
        <f>C61</f>
        <v>0</v>
      </c>
      <c r="F61" s="10">
        <v>0</v>
      </c>
      <c r="G61" s="10">
        <v>0</v>
      </c>
      <c r="H61" s="9">
        <f ca="1">IF(ISBLANK(C61), 0, INDIRECT("G"&amp; C61+1))</f>
        <v>0</v>
      </c>
      <c r="U61" s="2">
        <v>79</v>
      </c>
    </row>
    <row r="62" spans="1:21" x14ac:dyDescent="0.3">
      <c r="A62" s="2" t="s">
        <v>14</v>
      </c>
      <c r="B62" s="3">
        <v>61</v>
      </c>
      <c r="C62" s="4" t="s">
        <v>15</v>
      </c>
      <c r="D62" s="5" t="s">
        <v>16</v>
      </c>
      <c r="E62" s="3" t="s">
        <v>18</v>
      </c>
      <c r="F62" s="3">
        <v>0</v>
      </c>
      <c r="G62" s="3">
        <v>4</v>
      </c>
      <c r="H62" s="6">
        <f>IF(COUNTIF(C2:C233, 61) &gt; 0, 0, 4)</f>
        <v>4</v>
      </c>
      <c r="U62" s="2">
        <v>80</v>
      </c>
    </row>
    <row r="63" spans="1:21" x14ac:dyDescent="0.3">
      <c r="A63" s="7" t="s">
        <v>17</v>
      </c>
      <c r="B63" s="7">
        <v>62</v>
      </c>
      <c r="C63" s="8"/>
      <c r="D63" s="8"/>
      <c r="E63" s="9">
        <f>C63</f>
        <v>0</v>
      </c>
      <c r="F63" s="10">
        <v>0</v>
      </c>
      <c r="G63" s="10">
        <v>0</v>
      </c>
      <c r="H63" s="9">
        <f ca="1">IF(ISBLANK(C63), 0, INDIRECT("G"&amp; C63+1))</f>
        <v>0</v>
      </c>
      <c r="U63" s="2">
        <v>81</v>
      </c>
    </row>
    <row r="64" spans="1:21" x14ac:dyDescent="0.3">
      <c r="A64" s="2" t="s">
        <v>14</v>
      </c>
      <c r="B64" s="3">
        <v>63</v>
      </c>
      <c r="C64" s="4" t="s">
        <v>15</v>
      </c>
      <c r="D64" s="5" t="s">
        <v>16</v>
      </c>
      <c r="E64" s="3" t="s">
        <v>18</v>
      </c>
      <c r="F64" s="3">
        <v>0</v>
      </c>
      <c r="G64" s="3">
        <v>4</v>
      </c>
      <c r="H64" s="6">
        <f>IF(COUNTIF(C2:C233, 63) &gt; 0, 0, 4)</f>
        <v>4</v>
      </c>
      <c r="U64" s="2">
        <v>82</v>
      </c>
    </row>
    <row r="65" spans="1:21" x14ac:dyDescent="0.3">
      <c r="A65" s="2" t="s">
        <v>14</v>
      </c>
      <c r="B65" s="3">
        <v>64</v>
      </c>
      <c r="C65" s="4" t="s">
        <v>15</v>
      </c>
      <c r="D65" s="5" t="s">
        <v>16</v>
      </c>
      <c r="E65" s="3" t="s">
        <v>18</v>
      </c>
      <c r="F65" s="3">
        <v>0</v>
      </c>
      <c r="G65" s="3">
        <v>4</v>
      </c>
      <c r="H65" s="6">
        <f>IF(COUNTIF(C2:C233, 64) &gt; 0, 0, 4)</f>
        <v>4</v>
      </c>
      <c r="U65" s="2">
        <v>83</v>
      </c>
    </row>
    <row r="66" spans="1:21" x14ac:dyDescent="0.3">
      <c r="A66" s="7" t="s">
        <v>17</v>
      </c>
      <c r="B66" s="7">
        <v>65</v>
      </c>
      <c r="C66" s="8"/>
      <c r="D66" s="8"/>
      <c r="E66" s="9">
        <f>C66</f>
        <v>0</v>
      </c>
      <c r="F66" s="10">
        <v>0</v>
      </c>
      <c r="G66" s="10">
        <v>0</v>
      </c>
      <c r="H66" s="9">
        <f ca="1">IF(ISBLANK(C66), 0, INDIRECT("G"&amp; C66+1))</f>
        <v>0</v>
      </c>
      <c r="U66" s="2">
        <v>84</v>
      </c>
    </row>
    <row r="67" spans="1:21" x14ac:dyDescent="0.3">
      <c r="A67" s="2" t="s">
        <v>14</v>
      </c>
      <c r="B67" s="3">
        <v>66</v>
      </c>
      <c r="C67" s="4" t="s">
        <v>15</v>
      </c>
      <c r="D67" s="5" t="s">
        <v>16</v>
      </c>
      <c r="E67" s="3" t="s">
        <v>18</v>
      </c>
      <c r="F67" s="3">
        <v>0</v>
      </c>
      <c r="G67" s="3">
        <v>4</v>
      </c>
      <c r="H67" s="6">
        <f>IF(COUNTIF(C2:C233, 66) &gt; 0, 0, 4)</f>
        <v>4</v>
      </c>
      <c r="U67" s="2">
        <v>85</v>
      </c>
    </row>
    <row r="68" spans="1:21" x14ac:dyDescent="0.3">
      <c r="A68" s="2" t="s">
        <v>14</v>
      </c>
      <c r="B68" s="3">
        <v>67</v>
      </c>
      <c r="C68" s="4" t="s">
        <v>15</v>
      </c>
      <c r="D68" s="5" t="s">
        <v>16</v>
      </c>
      <c r="E68" s="3" t="s">
        <v>18</v>
      </c>
      <c r="F68" s="3">
        <v>0</v>
      </c>
      <c r="G68" s="3">
        <v>5</v>
      </c>
      <c r="H68" s="6">
        <f>IF(COUNTIF(C2:C233, 67) &gt; 0, 0, 5)</f>
        <v>5</v>
      </c>
      <c r="U68" s="2">
        <v>86</v>
      </c>
    </row>
    <row r="69" spans="1:21" x14ac:dyDescent="0.3">
      <c r="A69" s="7" t="s">
        <v>17</v>
      </c>
      <c r="B69" s="7">
        <v>68</v>
      </c>
      <c r="C69" s="8"/>
      <c r="D69" s="8"/>
      <c r="E69" s="9">
        <f>C69</f>
        <v>0</v>
      </c>
      <c r="F69" s="10">
        <v>0</v>
      </c>
      <c r="G69" s="10">
        <v>0</v>
      </c>
      <c r="H69" s="9">
        <f ca="1">IF(ISBLANK(C69), 0, INDIRECT("G"&amp; C69+1))</f>
        <v>0</v>
      </c>
      <c r="U69" s="2">
        <v>87</v>
      </c>
    </row>
    <row r="70" spans="1:21" x14ac:dyDescent="0.3">
      <c r="A70" s="2" t="s">
        <v>14</v>
      </c>
      <c r="B70" s="3">
        <v>69</v>
      </c>
      <c r="C70" s="4" t="s">
        <v>15</v>
      </c>
      <c r="D70" s="5" t="s">
        <v>16</v>
      </c>
      <c r="E70" s="3" t="s">
        <v>18</v>
      </c>
      <c r="F70" s="3">
        <v>0</v>
      </c>
      <c r="G70" s="3">
        <v>4</v>
      </c>
      <c r="H70" s="6">
        <f>IF(COUNTIF(C2:C233, 69) &gt; 0, 0, 4)</f>
        <v>4</v>
      </c>
      <c r="U70" s="2">
        <v>88</v>
      </c>
    </row>
    <row r="71" spans="1:21" x14ac:dyDescent="0.3">
      <c r="A71" s="2" t="s">
        <v>14</v>
      </c>
      <c r="B71" s="3">
        <v>70</v>
      </c>
      <c r="C71" s="4" t="s">
        <v>15</v>
      </c>
      <c r="D71" s="5" t="s">
        <v>16</v>
      </c>
      <c r="E71" s="3" t="s">
        <v>18</v>
      </c>
      <c r="F71" s="3">
        <v>0</v>
      </c>
      <c r="G71" s="3">
        <v>4</v>
      </c>
      <c r="H71" s="6">
        <f>IF(COUNTIF(C2:C233, 70) &gt; 0, 0, 4)</f>
        <v>4</v>
      </c>
      <c r="U71" s="2">
        <v>89</v>
      </c>
    </row>
    <row r="72" spans="1:21" x14ac:dyDescent="0.3">
      <c r="A72" s="2" t="s">
        <v>14</v>
      </c>
      <c r="B72" s="3">
        <v>71</v>
      </c>
      <c r="C72" s="4" t="s">
        <v>15</v>
      </c>
      <c r="D72" s="5" t="s">
        <v>16</v>
      </c>
      <c r="E72" s="3" t="s">
        <v>18</v>
      </c>
      <c r="F72" s="3">
        <v>0</v>
      </c>
      <c r="G72" s="3">
        <v>6</v>
      </c>
      <c r="H72" s="6">
        <f>IF(COUNTIF(C2:C233, 71) &gt; 0, 0, 6)</f>
        <v>6</v>
      </c>
      <c r="U72" s="2">
        <v>90</v>
      </c>
    </row>
    <row r="73" spans="1:21" x14ac:dyDescent="0.3">
      <c r="A73" s="2" t="s">
        <v>14</v>
      </c>
      <c r="B73" s="3">
        <v>72</v>
      </c>
      <c r="C73" s="4" t="s">
        <v>15</v>
      </c>
      <c r="D73" s="5" t="s">
        <v>16</v>
      </c>
      <c r="E73" s="3" t="s">
        <v>18</v>
      </c>
      <c r="F73" s="3">
        <v>0</v>
      </c>
      <c r="G73" s="3">
        <v>1</v>
      </c>
      <c r="H73" s="6">
        <f>IF(COUNTIF(C2:C233, 72) &gt; 0, 0, 1)</f>
        <v>1</v>
      </c>
      <c r="U73" s="2">
        <v>91</v>
      </c>
    </row>
    <row r="74" spans="1:21" x14ac:dyDescent="0.3">
      <c r="A74" s="2" t="s">
        <v>14</v>
      </c>
      <c r="B74" s="3">
        <v>73</v>
      </c>
      <c r="C74" s="4" t="s">
        <v>15</v>
      </c>
      <c r="D74" s="5" t="s">
        <v>16</v>
      </c>
      <c r="E74" s="3" t="s">
        <v>18</v>
      </c>
      <c r="F74" s="3">
        <v>0</v>
      </c>
      <c r="G74" s="3">
        <v>4</v>
      </c>
      <c r="H74" s="6">
        <f>IF(COUNTIF(C2:C233, 73) &gt; 0, 0, 4)</f>
        <v>4</v>
      </c>
      <c r="U74" s="2">
        <v>92</v>
      </c>
    </row>
    <row r="75" spans="1:21" x14ac:dyDescent="0.3">
      <c r="A75" s="2" t="s">
        <v>14</v>
      </c>
      <c r="B75" s="3">
        <v>74</v>
      </c>
      <c r="C75" s="4" t="s">
        <v>15</v>
      </c>
      <c r="D75" s="5" t="s">
        <v>16</v>
      </c>
      <c r="E75" s="3" t="s">
        <v>18</v>
      </c>
      <c r="F75" s="3">
        <v>1</v>
      </c>
      <c r="G75" s="3">
        <v>1</v>
      </c>
      <c r="H75" s="6">
        <f>IF(COUNTIF(C2:C233, 74) &gt; 0, 0, 1)</f>
        <v>1</v>
      </c>
      <c r="U75" s="2">
        <v>93</v>
      </c>
    </row>
    <row r="76" spans="1:21" x14ac:dyDescent="0.3">
      <c r="A76" s="7" t="s">
        <v>17</v>
      </c>
      <c r="B76" s="7">
        <v>75</v>
      </c>
      <c r="C76" s="8"/>
      <c r="D76" s="8"/>
      <c r="E76" s="9">
        <f>C76</f>
        <v>0</v>
      </c>
      <c r="F76" s="10">
        <v>0</v>
      </c>
      <c r="G76" s="10">
        <v>0</v>
      </c>
      <c r="H76" s="9">
        <f ca="1">IF(ISBLANK(C76), 0, INDIRECT("G"&amp; C76+1))</f>
        <v>0</v>
      </c>
      <c r="U76" s="2">
        <v>94</v>
      </c>
    </row>
    <row r="77" spans="1:21" x14ac:dyDescent="0.3">
      <c r="A77" s="2" t="s">
        <v>14</v>
      </c>
      <c r="B77" s="3">
        <v>76</v>
      </c>
      <c r="C77" s="4" t="s">
        <v>15</v>
      </c>
      <c r="D77" s="5" t="s">
        <v>16</v>
      </c>
      <c r="E77" s="3" t="s">
        <v>18</v>
      </c>
      <c r="F77" s="3">
        <v>1</v>
      </c>
      <c r="G77" s="3">
        <v>3</v>
      </c>
      <c r="H77" s="6">
        <f>IF(COUNTIF(C2:C233, 76) &gt; 0, 0, 3)</f>
        <v>3</v>
      </c>
      <c r="U77" s="2">
        <v>95</v>
      </c>
    </row>
    <row r="78" spans="1:21" x14ac:dyDescent="0.3">
      <c r="A78" s="2" t="s">
        <v>14</v>
      </c>
      <c r="B78" s="3">
        <v>77</v>
      </c>
      <c r="C78" s="4" t="s">
        <v>15</v>
      </c>
      <c r="D78" s="5" t="s">
        <v>16</v>
      </c>
      <c r="E78" s="3" t="s">
        <v>18</v>
      </c>
      <c r="F78" s="3">
        <v>1</v>
      </c>
      <c r="G78" s="3">
        <v>3</v>
      </c>
      <c r="H78" s="6">
        <f>IF(COUNTIF(C2:C233, 77) &gt; 0, 0, 3)</f>
        <v>3</v>
      </c>
      <c r="U78" s="2">
        <v>96</v>
      </c>
    </row>
    <row r="79" spans="1:21" x14ac:dyDescent="0.3">
      <c r="A79" s="2" t="s">
        <v>14</v>
      </c>
      <c r="B79" s="3">
        <v>78</v>
      </c>
      <c r="C79" s="4" t="s">
        <v>15</v>
      </c>
      <c r="D79" s="5" t="s">
        <v>16</v>
      </c>
      <c r="E79" s="3" t="s">
        <v>18</v>
      </c>
      <c r="F79" s="3">
        <v>1</v>
      </c>
      <c r="G79" s="3">
        <v>1</v>
      </c>
      <c r="H79" s="6">
        <f>IF(COUNTIF(C2:C233, 78) &gt; 0, 0, 1)</f>
        <v>1</v>
      </c>
      <c r="U79" s="2">
        <v>97</v>
      </c>
    </row>
    <row r="80" spans="1:21" x14ac:dyDescent="0.3">
      <c r="A80" s="2" t="s">
        <v>14</v>
      </c>
      <c r="B80" s="3">
        <v>79</v>
      </c>
      <c r="C80" s="4" t="s">
        <v>15</v>
      </c>
      <c r="D80" s="5" t="s">
        <v>16</v>
      </c>
      <c r="E80" s="3" t="s">
        <v>18</v>
      </c>
      <c r="F80" s="3">
        <v>1</v>
      </c>
      <c r="G80" s="3">
        <v>1</v>
      </c>
      <c r="H80" s="6">
        <f>IF(COUNTIF(C2:C233, 79) &gt; 0, 0, 1)</f>
        <v>1</v>
      </c>
      <c r="U80" s="2">
        <v>98</v>
      </c>
    </row>
    <row r="81" spans="1:21" x14ac:dyDescent="0.3">
      <c r="A81" s="2" t="s">
        <v>14</v>
      </c>
      <c r="B81" s="3">
        <v>80</v>
      </c>
      <c r="C81" s="4" t="s">
        <v>15</v>
      </c>
      <c r="D81" s="5" t="s">
        <v>16</v>
      </c>
      <c r="E81" s="3" t="s">
        <v>18</v>
      </c>
      <c r="F81" s="3">
        <v>1</v>
      </c>
      <c r="G81" s="3">
        <v>1</v>
      </c>
      <c r="H81" s="6">
        <f>IF(COUNTIF(C2:C233, 80) &gt; 0, 0, 1)</f>
        <v>1</v>
      </c>
      <c r="U81" s="2">
        <v>99</v>
      </c>
    </row>
    <row r="82" spans="1:21" x14ac:dyDescent="0.3">
      <c r="A82" s="2" t="s">
        <v>14</v>
      </c>
      <c r="B82" s="3">
        <v>81</v>
      </c>
      <c r="C82" s="4" t="s">
        <v>15</v>
      </c>
      <c r="D82" s="5" t="s">
        <v>16</v>
      </c>
      <c r="E82" s="3" t="s">
        <v>18</v>
      </c>
      <c r="F82" s="3">
        <v>1</v>
      </c>
      <c r="G82" s="3">
        <v>1</v>
      </c>
      <c r="H82" s="6">
        <f>IF(COUNTIF(C2:C233, 81) &gt; 0, 0, 1)</f>
        <v>1</v>
      </c>
      <c r="U82" s="2">
        <v>100</v>
      </c>
    </row>
    <row r="83" spans="1:21" x14ac:dyDescent="0.3">
      <c r="A83" s="2" t="s">
        <v>14</v>
      </c>
      <c r="B83" s="3">
        <v>82</v>
      </c>
      <c r="C83" s="4" t="s">
        <v>15</v>
      </c>
      <c r="D83" s="5" t="s">
        <v>16</v>
      </c>
      <c r="E83" s="3" t="s">
        <v>18</v>
      </c>
      <c r="F83" s="3">
        <v>1</v>
      </c>
      <c r="G83" s="3">
        <v>1</v>
      </c>
      <c r="H83" s="6">
        <f>IF(COUNTIF(C2:C233, 82) &gt; 0, 0, 1)</f>
        <v>1</v>
      </c>
      <c r="U83" s="2">
        <v>101</v>
      </c>
    </row>
    <row r="84" spans="1:21" x14ac:dyDescent="0.3">
      <c r="A84" s="2" t="s">
        <v>14</v>
      </c>
      <c r="B84" s="3">
        <v>83</v>
      </c>
      <c r="C84" s="4" t="s">
        <v>15</v>
      </c>
      <c r="D84" s="5" t="s">
        <v>16</v>
      </c>
      <c r="E84" s="3" t="s">
        <v>18</v>
      </c>
      <c r="F84" s="3">
        <v>1</v>
      </c>
      <c r="G84" s="3">
        <v>1</v>
      </c>
      <c r="H84" s="6">
        <f>IF(COUNTIF(C2:C233, 83) &gt; 0, 0, 1)</f>
        <v>1</v>
      </c>
      <c r="U84" s="2">
        <v>102</v>
      </c>
    </row>
    <row r="85" spans="1:21" x14ac:dyDescent="0.3">
      <c r="A85" s="2" t="s">
        <v>14</v>
      </c>
      <c r="B85" s="3">
        <v>84</v>
      </c>
      <c r="C85" s="4" t="s">
        <v>15</v>
      </c>
      <c r="D85" s="5" t="s">
        <v>16</v>
      </c>
      <c r="E85" s="3" t="s">
        <v>18</v>
      </c>
      <c r="F85" s="3">
        <v>1</v>
      </c>
      <c r="G85" s="3">
        <v>1</v>
      </c>
      <c r="H85" s="6">
        <f>IF(COUNTIF(C2:C233, 84) &gt; 0, 0, 1)</f>
        <v>1</v>
      </c>
      <c r="U85" s="2">
        <v>103</v>
      </c>
    </row>
    <row r="86" spans="1:21" x14ac:dyDescent="0.3">
      <c r="A86" s="2" t="s">
        <v>14</v>
      </c>
      <c r="B86" s="3">
        <v>85</v>
      </c>
      <c r="C86" s="4" t="s">
        <v>15</v>
      </c>
      <c r="D86" s="5" t="s">
        <v>16</v>
      </c>
      <c r="E86" s="3" t="s">
        <v>18</v>
      </c>
      <c r="F86" s="3">
        <v>1</v>
      </c>
      <c r="G86" s="3">
        <v>1</v>
      </c>
      <c r="H86" s="6">
        <f>IF(COUNTIF(C2:C233, 85) &gt; 0, 0, 1)</f>
        <v>1</v>
      </c>
      <c r="U86" s="2">
        <v>104</v>
      </c>
    </row>
    <row r="87" spans="1:21" x14ac:dyDescent="0.3">
      <c r="A87" s="2" t="s">
        <v>14</v>
      </c>
      <c r="B87" s="3">
        <v>86</v>
      </c>
      <c r="C87" s="4" t="s">
        <v>15</v>
      </c>
      <c r="D87" s="5" t="s">
        <v>16</v>
      </c>
      <c r="E87" s="3" t="s">
        <v>18</v>
      </c>
      <c r="F87" s="3">
        <v>1</v>
      </c>
      <c r="G87" s="3">
        <v>2</v>
      </c>
      <c r="H87" s="6">
        <f>IF(COUNTIF(C2:C233, 86) &gt; 0, 0, 2)</f>
        <v>2</v>
      </c>
      <c r="U87" s="2">
        <v>105</v>
      </c>
    </row>
    <row r="88" spans="1:21" x14ac:dyDescent="0.3">
      <c r="A88" s="2" t="s">
        <v>14</v>
      </c>
      <c r="B88" s="3">
        <v>87</v>
      </c>
      <c r="C88" s="4" t="s">
        <v>15</v>
      </c>
      <c r="D88" s="5" t="s">
        <v>16</v>
      </c>
      <c r="E88" s="3" t="s">
        <v>18</v>
      </c>
      <c r="F88" s="3">
        <v>1</v>
      </c>
      <c r="G88" s="3">
        <v>2</v>
      </c>
      <c r="H88" s="6">
        <f>IF(COUNTIF(C2:C233, 87) &gt; 0, 0, 2)</f>
        <v>2</v>
      </c>
      <c r="U88" s="2">
        <v>106</v>
      </c>
    </row>
    <row r="89" spans="1:21" x14ac:dyDescent="0.3">
      <c r="A89" s="2" t="s">
        <v>14</v>
      </c>
      <c r="B89" s="3">
        <v>88</v>
      </c>
      <c r="C89" s="4" t="s">
        <v>15</v>
      </c>
      <c r="D89" s="5" t="s">
        <v>16</v>
      </c>
      <c r="E89" s="3" t="s">
        <v>18</v>
      </c>
      <c r="F89" s="3">
        <v>1</v>
      </c>
      <c r="G89" s="3">
        <v>1</v>
      </c>
      <c r="H89" s="6">
        <f>IF(COUNTIF(C2:C233, 88) &gt; 0, 0, 1)</f>
        <v>1</v>
      </c>
      <c r="U89" s="2">
        <v>107</v>
      </c>
    </row>
    <row r="90" spans="1:21" x14ac:dyDescent="0.3">
      <c r="A90" s="2" t="s">
        <v>14</v>
      </c>
      <c r="B90" s="3">
        <v>89</v>
      </c>
      <c r="C90" s="4" t="s">
        <v>15</v>
      </c>
      <c r="D90" s="5" t="s">
        <v>16</v>
      </c>
      <c r="E90" s="3" t="s">
        <v>18</v>
      </c>
      <c r="F90" s="3">
        <v>1</v>
      </c>
      <c r="G90" s="3">
        <v>1</v>
      </c>
      <c r="H90" s="6">
        <f>IF(COUNTIF(C2:C233, 89) &gt; 0, 0, 1)</f>
        <v>1</v>
      </c>
      <c r="U90" s="2">
        <v>108</v>
      </c>
    </row>
    <row r="91" spans="1:21" x14ac:dyDescent="0.3">
      <c r="A91" s="2" t="s">
        <v>14</v>
      </c>
      <c r="B91" s="3">
        <v>90</v>
      </c>
      <c r="C91" s="4" t="s">
        <v>15</v>
      </c>
      <c r="D91" s="5" t="s">
        <v>16</v>
      </c>
      <c r="E91" s="3" t="s">
        <v>18</v>
      </c>
      <c r="F91" s="3">
        <v>1</v>
      </c>
      <c r="G91" s="3">
        <v>1</v>
      </c>
      <c r="H91" s="6">
        <f>IF(COUNTIF(C2:C233, 90) &gt; 0, 0, 1)</f>
        <v>1</v>
      </c>
      <c r="U91" s="2">
        <v>142</v>
      </c>
    </row>
    <row r="92" spans="1:21" x14ac:dyDescent="0.3">
      <c r="A92" s="2" t="s">
        <v>14</v>
      </c>
      <c r="B92" s="3">
        <v>91</v>
      </c>
      <c r="C92" s="4" t="s">
        <v>15</v>
      </c>
      <c r="D92" s="5" t="s">
        <v>16</v>
      </c>
      <c r="E92" s="3" t="s">
        <v>18</v>
      </c>
      <c r="F92" s="3">
        <v>1</v>
      </c>
      <c r="G92" s="3">
        <v>1</v>
      </c>
      <c r="H92" s="6">
        <f>IF(COUNTIF(C2:C233, 91) &gt; 0, 0, 1)</f>
        <v>1</v>
      </c>
      <c r="U92" s="2">
        <v>143</v>
      </c>
    </row>
    <row r="93" spans="1:21" x14ac:dyDescent="0.3">
      <c r="A93" s="2" t="s">
        <v>14</v>
      </c>
      <c r="B93" s="3">
        <v>92</v>
      </c>
      <c r="C93" s="4" t="s">
        <v>15</v>
      </c>
      <c r="D93" s="5" t="s">
        <v>16</v>
      </c>
      <c r="E93" s="3" t="s">
        <v>18</v>
      </c>
      <c r="F93" s="3">
        <v>1</v>
      </c>
      <c r="G93" s="3">
        <v>2</v>
      </c>
      <c r="H93" s="6">
        <f>IF(COUNTIF(C2:C233, 92) &gt; 0, 0, 2)</f>
        <v>2</v>
      </c>
      <c r="U93" s="2">
        <v>144</v>
      </c>
    </row>
    <row r="94" spans="1:21" x14ac:dyDescent="0.3">
      <c r="A94" s="2" t="s">
        <v>14</v>
      </c>
      <c r="B94" s="3">
        <v>93</v>
      </c>
      <c r="C94" s="4" t="s">
        <v>15</v>
      </c>
      <c r="D94" s="5" t="s">
        <v>16</v>
      </c>
      <c r="E94" s="3" t="s">
        <v>18</v>
      </c>
      <c r="F94" s="3">
        <v>1</v>
      </c>
      <c r="G94" s="3">
        <v>2</v>
      </c>
      <c r="H94" s="6">
        <f>IF(COUNTIF(C2:C233, 93) &gt; 0, 0, 2)</f>
        <v>2</v>
      </c>
      <c r="U94" s="2">
        <v>145</v>
      </c>
    </row>
    <row r="95" spans="1:21" x14ac:dyDescent="0.3">
      <c r="A95" s="2" t="s">
        <v>14</v>
      </c>
      <c r="B95" s="3">
        <v>94</v>
      </c>
      <c r="C95" s="4" t="s">
        <v>15</v>
      </c>
      <c r="D95" s="5" t="s">
        <v>16</v>
      </c>
      <c r="E95" s="3" t="s">
        <v>18</v>
      </c>
      <c r="F95" s="3">
        <v>1</v>
      </c>
      <c r="G95" s="3">
        <v>1</v>
      </c>
      <c r="H95" s="6">
        <f>IF(COUNTIF(C2:C233, 94) &gt; 0, 0, 1)</f>
        <v>1</v>
      </c>
      <c r="U95" s="2">
        <v>146</v>
      </c>
    </row>
    <row r="96" spans="1:21" x14ac:dyDescent="0.3">
      <c r="A96" s="2" t="s">
        <v>14</v>
      </c>
      <c r="B96" s="3">
        <v>95</v>
      </c>
      <c r="C96" s="4" t="s">
        <v>15</v>
      </c>
      <c r="D96" s="5" t="s">
        <v>16</v>
      </c>
      <c r="E96" s="3" t="s">
        <v>18</v>
      </c>
      <c r="F96" s="3">
        <v>1</v>
      </c>
      <c r="G96" s="3">
        <v>1</v>
      </c>
      <c r="H96" s="6">
        <f>IF(COUNTIF(C2:C233, 95) &gt; 0, 0, 1)</f>
        <v>1</v>
      </c>
      <c r="U96" s="2">
        <v>147</v>
      </c>
    </row>
    <row r="97" spans="1:21" x14ac:dyDescent="0.3">
      <c r="A97" s="2" t="s">
        <v>14</v>
      </c>
      <c r="B97" s="3">
        <v>96</v>
      </c>
      <c r="C97" s="4" t="s">
        <v>15</v>
      </c>
      <c r="D97" s="5" t="s">
        <v>16</v>
      </c>
      <c r="E97" s="3" t="s">
        <v>18</v>
      </c>
      <c r="F97" s="3">
        <v>0</v>
      </c>
      <c r="G97" s="3">
        <v>2</v>
      </c>
      <c r="H97" s="6">
        <f>IF(COUNTIF(C2:C233, 96) &gt; 0, 0, 2)</f>
        <v>2</v>
      </c>
      <c r="U97" s="2">
        <v>148</v>
      </c>
    </row>
    <row r="98" spans="1:21" x14ac:dyDescent="0.3">
      <c r="A98" s="2" t="s">
        <v>14</v>
      </c>
      <c r="B98" s="3">
        <v>97</v>
      </c>
      <c r="C98" s="4" t="s">
        <v>15</v>
      </c>
      <c r="D98" s="5" t="s">
        <v>16</v>
      </c>
      <c r="E98" s="3" t="s">
        <v>18</v>
      </c>
      <c r="F98" s="3">
        <v>2</v>
      </c>
      <c r="G98" s="3">
        <v>4</v>
      </c>
      <c r="H98" s="6">
        <f>IF(COUNTIF(C2:C233, 97) &gt; 0, 0, 4)</f>
        <v>4</v>
      </c>
      <c r="U98" s="2">
        <v>149</v>
      </c>
    </row>
    <row r="99" spans="1:21" x14ac:dyDescent="0.3">
      <c r="A99" s="2" t="s">
        <v>14</v>
      </c>
      <c r="B99" s="3">
        <v>98</v>
      </c>
      <c r="C99" s="4" t="s">
        <v>15</v>
      </c>
      <c r="D99" s="5" t="s">
        <v>16</v>
      </c>
      <c r="E99" s="3" t="s">
        <v>18</v>
      </c>
      <c r="F99" s="3">
        <v>3</v>
      </c>
      <c r="G99" s="3">
        <v>2</v>
      </c>
      <c r="H99" s="6">
        <f>IF(COUNTIF(C2:C233, 98) &gt; 0, 0, 2)</f>
        <v>2</v>
      </c>
      <c r="U99" s="2">
        <v>150</v>
      </c>
    </row>
    <row r="100" spans="1:21" x14ac:dyDescent="0.3">
      <c r="A100" s="2" t="s">
        <v>14</v>
      </c>
      <c r="B100" s="3">
        <v>99</v>
      </c>
      <c r="C100" s="4" t="s">
        <v>15</v>
      </c>
      <c r="D100" s="5" t="s">
        <v>16</v>
      </c>
      <c r="E100" s="3" t="s">
        <v>18</v>
      </c>
      <c r="F100" s="3">
        <v>2</v>
      </c>
      <c r="G100" s="3">
        <v>0</v>
      </c>
      <c r="H100" s="6">
        <f>IF(COUNTIF(C2:C233, 99) &gt; 0, 0, 0)</f>
        <v>0</v>
      </c>
      <c r="U100" s="2">
        <v>151</v>
      </c>
    </row>
    <row r="101" spans="1:21" x14ac:dyDescent="0.3">
      <c r="A101" s="2" t="s">
        <v>14</v>
      </c>
      <c r="B101" s="3">
        <v>100</v>
      </c>
      <c r="C101" s="4" t="s">
        <v>15</v>
      </c>
      <c r="D101" s="5" t="s">
        <v>16</v>
      </c>
      <c r="E101" s="3" t="s">
        <v>18</v>
      </c>
      <c r="F101" s="3">
        <v>1</v>
      </c>
      <c r="G101" s="3">
        <v>1</v>
      </c>
      <c r="H101" s="6">
        <f>IF(COUNTIF(C2:C233, 100) &gt; 0, 0, 1)</f>
        <v>1</v>
      </c>
      <c r="U101" s="2">
        <v>152</v>
      </c>
    </row>
    <row r="102" spans="1:21" x14ac:dyDescent="0.3">
      <c r="A102" s="2" t="s">
        <v>14</v>
      </c>
      <c r="B102" s="3">
        <v>101</v>
      </c>
      <c r="C102" s="4" t="s">
        <v>15</v>
      </c>
      <c r="D102" s="5" t="s">
        <v>16</v>
      </c>
      <c r="E102" s="3" t="s">
        <v>18</v>
      </c>
      <c r="F102" s="3">
        <v>1</v>
      </c>
      <c r="G102" s="3">
        <v>1</v>
      </c>
      <c r="H102" s="6">
        <f>IF(COUNTIF(C2:C233, 101) &gt; 0, 0, 1)</f>
        <v>1</v>
      </c>
      <c r="U102" s="2">
        <v>153</v>
      </c>
    </row>
    <row r="103" spans="1:21" x14ac:dyDescent="0.3">
      <c r="A103" s="2" t="s">
        <v>14</v>
      </c>
      <c r="B103" s="3">
        <v>102</v>
      </c>
      <c r="C103" s="4" t="s">
        <v>15</v>
      </c>
      <c r="D103" s="5" t="s">
        <v>16</v>
      </c>
      <c r="E103" s="3" t="s">
        <v>18</v>
      </c>
      <c r="F103" s="3">
        <v>1</v>
      </c>
      <c r="G103" s="3">
        <v>1</v>
      </c>
      <c r="H103" s="6">
        <f>IF(COUNTIF(C2:C233, 102) &gt; 0, 0, 1)</f>
        <v>1</v>
      </c>
      <c r="U103" s="2">
        <v>154</v>
      </c>
    </row>
    <row r="104" spans="1:21" x14ac:dyDescent="0.3">
      <c r="A104" s="2" t="s">
        <v>14</v>
      </c>
      <c r="B104" s="3">
        <v>103</v>
      </c>
      <c r="C104" s="4" t="s">
        <v>15</v>
      </c>
      <c r="D104" s="5" t="s">
        <v>16</v>
      </c>
      <c r="E104" s="3" t="s">
        <v>18</v>
      </c>
      <c r="F104" s="3">
        <v>1</v>
      </c>
      <c r="G104" s="3">
        <v>1</v>
      </c>
      <c r="H104" s="6">
        <f>IF(COUNTIF(C2:C233, 103) &gt; 0, 0, 1)</f>
        <v>1</v>
      </c>
      <c r="U104" s="2">
        <v>155</v>
      </c>
    </row>
    <row r="105" spans="1:21" x14ac:dyDescent="0.3">
      <c r="A105" s="2" t="s">
        <v>14</v>
      </c>
      <c r="B105" s="3">
        <v>104</v>
      </c>
      <c r="C105" s="4" t="s">
        <v>15</v>
      </c>
      <c r="D105" s="5" t="s">
        <v>16</v>
      </c>
      <c r="E105" s="3" t="s">
        <v>18</v>
      </c>
      <c r="F105" s="3">
        <v>1</v>
      </c>
      <c r="G105" s="3">
        <v>1</v>
      </c>
      <c r="H105" s="6">
        <f>IF(COUNTIF(C2:C233, 104) &gt; 0, 0, 1)</f>
        <v>1</v>
      </c>
      <c r="U105" s="2">
        <v>156</v>
      </c>
    </row>
    <row r="106" spans="1:21" x14ac:dyDescent="0.3">
      <c r="A106" s="2" t="s">
        <v>14</v>
      </c>
      <c r="B106" s="3">
        <v>105</v>
      </c>
      <c r="C106" s="4" t="s">
        <v>15</v>
      </c>
      <c r="D106" s="5" t="s">
        <v>16</v>
      </c>
      <c r="E106" s="3" t="s">
        <v>18</v>
      </c>
      <c r="F106" s="3">
        <v>1</v>
      </c>
      <c r="G106" s="3">
        <v>1</v>
      </c>
      <c r="H106" s="6">
        <f>IF(COUNTIF(C2:C233, 105) &gt; 0, 0, 1)</f>
        <v>1</v>
      </c>
      <c r="U106" s="2">
        <v>157</v>
      </c>
    </row>
    <row r="107" spans="1:21" x14ac:dyDescent="0.3">
      <c r="A107" s="2" t="s">
        <v>14</v>
      </c>
      <c r="B107" s="3">
        <v>106</v>
      </c>
      <c r="C107" s="4" t="s">
        <v>15</v>
      </c>
      <c r="D107" s="5" t="s">
        <v>16</v>
      </c>
      <c r="E107" s="3" t="s">
        <v>18</v>
      </c>
      <c r="F107" s="3">
        <v>1</v>
      </c>
      <c r="G107" s="3">
        <v>1</v>
      </c>
      <c r="H107" s="6">
        <f>IF(COUNTIF(C2:C233, 106) &gt; 0, 0, 1)</f>
        <v>1</v>
      </c>
      <c r="U107" s="2">
        <v>158</v>
      </c>
    </row>
    <row r="108" spans="1:21" x14ac:dyDescent="0.3">
      <c r="A108" s="2" t="s">
        <v>14</v>
      </c>
      <c r="B108" s="3">
        <v>107</v>
      </c>
      <c r="C108" s="4" t="s">
        <v>15</v>
      </c>
      <c r="D108" s="5" t="s">
        <v>16</v>
      </c>
      <c r="E108" s="3" t="s">
        <v>18</v>
      </c>
      <c r="F108" s="3">
        <v>1</v>
      </c>
      <c r="G108" s="3">
        <v>1</v>
      </c>
      <c r="H108" s="6">
        <f>IF(COUNTIF(C2:C233, 107) &gt; 0, 0, 1)</f>
        <v>1</v>
      </c>
      <c r="U108" s="2">
        <v>159</v>
      </c>
    </row>
    <row r="109" spans="1:21" x14ac:dyDescent="0.3">
      <c r="A109" s="2" t="s">
        <v>14</v>
      </c>
      <c r="B109" s="3">
        <v>108</v>
      </c>
      <c r="C109" s="4" t="s">
        <v>15</v>
      </c>
      <c r="D109" s="5" t="s">
        <v>16</v>
      </c>
      <c r="E109" s="3" t="s">
        <v>18</v>
      </c>
      <c r="F109" s="3">
        <v>1</v>
      </c>
      <c r="G109" s="3">
        <v>1</v>
      </c>
      <c r="H109" s="6">
        <f>IF(COUNTIF(C2:C233, 108) &gt; 0, 0, 1)</f>
        <v>1</v>
      </c>
      <c r="U109" s="2">
        <v>160</v>
      </c>
    </row>
    <row r="110" spans="1:21" x14ac:dyDescent="0.3">
      <c r="A110" s="7" t="s">
        <v>17</v>
      </c>
      <c r="B110" s="7">
        <v>109</v>
      </c>
      <c r="C110" s="8"/>
      <c r="D110" s="8"/>
      <c r="E110" s="9">
        <f t="shared" ref="E110:E142" si="0">C110</f>
        <v>0</v>
      </c>
      <c r="F110" s="10">
        <v>0</v>
      </c>
      <c r="G110" s="10">
        <v>0</v>
      </c>
      <c r="H110" s="9">
        <f t="shared" ref="H110:H142" ca="1" si="1">IF(ISBLANK(C110), 0, INDIRECT("G"&amp; C110+1))</f>
        <v>0</v>
      </c>
      <c r="U110" s="2">
        <v>161</v>
      </c>
    </row>
    <row r="111" spans="1:21" x14ac:dyDescent="0.3">
      <c r="A111" s="7" t="s">
        <v>17</v>
      </c>
      <c r="B111" s="7">
        <v>110</v>
      </c>
      <c r="C111" s="8"/>
      <c r="D111" s="8"/>
      <c r="E111" s="9">
        <f t="shared" si="0"/>
        <v>0</v>
      </c>
      <c r="F111" s="10">
        <v>0</v>
      </c>
      <c r="G111" s="10">
        <v>0</v>
      </c>
      <c r="H111" s="9">
        <f t="shared" ca="1" si="1"/>
        <v>0</v>
      </c>
      <c r="U111" s="2">
        <v>162</v>
      </c>
    </row>
    <row r="112" spans="1:21" x14ac:dyDescent="0.3">
      <c r="A112" s="7" t="s">
        <v>17</v>
      </c>
      <c r="B112" s="7">
        <v>111</v>
      </c>
      <c r="C112" s="8"/>
      <c r="D112" s="8"/>
      <c r="E112" s="9">
        <f t="shared" si="0"/>
        <v>0</v>
      </c>
      <c r="F112" s="10">
        <v>0</v>
      </c>
      <c r="G112" s="10">
        <v>0</v>
      </c>
      <c r="H112" s="9">
        <f t="shared" ca="1" si="1"/>
        <v>0</v>
      </c>
      <c r="U112" s="2">
        <v>163</v>
      </c>
    </row>
    <row r="113" spans="1:21" x14ac:dyDescent="0.3">
      <c r="A113" s="7" t="s">
        <v>17</v>
      </c>
      <c r="B113" s="7">
        <v>112</v>
      </c>
      <c r="C113" s="8"/>
      <c r="D113" s="8"/>
      <c r="E113" s="9">
        <f t="shared" si="0"/>
        <v>0</v>
      </c>
      <c r="F113" s="10">
        <v>0</v>
      </c>
      <c r="G113" s="10">
        <v>0</v>
      </c>
      <c r="H113" s="9">
        <f t="shared" ca="1" si="1"/>
        <v>0</v>
      </c>
      <c r="U113" s="2">
        <v>164</v>
      </c>
    </row>
    <row r="114" spans="1:21" x14ac:dyDescent="0.3">
      <c r="A114" s="7" t="s">
        <v>17</v>
      </c>
      <c r="B114" s="7">
        <v>113</v>
      </c>
      <c r="C114" s="8"/>
      <c r="D114" s="8"/>
      <c r="E114" s="9">
        <f t="shared" si="0"/>
        <v>0</v>
      </c>
      <c r="F114" s="10">
        <v>0</v>
      </c>
      <c r="G114" s="10">
        <v>0</v>
      </c>
      <c r="H114" s="9">
        <f t="shared" ca="1" si="1"/>
        <v>0</v>
      </c>
      <c r="U114" s="2">
        <v>165</v>
      </c>
    </row>
    <row r="115" spans="1:21" x14ac:dyDescent="0.3">
      <c r="A115" s="7" t="s">
        <v>17</v>
      </c>
      <c r="B115" s="7">
        <v>114</v>
      </c>
      <c r="C115" s="8"/>
      <c r="D115" s="8"/>
      <c r="E115" s="9">
        <f t="shared" si="0"/>
        <v>0</v>
      </c>
      <c r="F115" s="10">
        <v>0</v>
      </c>
      <c r="G115" s="10">
        <v>0</v>
      </c>
      <c r="H115" s="9">
        <f t="shared" ca="1" si="1"/>
        <v>0</v>
      </c>
      <c r="U115" s="2">
        <v>166</v>
      </c>
    </row>
    <row r="116" spans="1:21" x14ac:dyDescent="0.3">
      <c r="A116" s="7" t="s">
        <v>17</v>
      </c>
      <c r="B116" s="7">
        <v>115</v>
      </c>
      <c r="C116" s="8"/>
      <c r="D116" s="8"/>
      <c r="E116" s="9">
        <f t="shared" si="0"/>
        <v>0</v>
      </c>
      <c r="F116" s="10">
        <v>0</v>
      </c>
      <c r="G116" s="10">
        <v>0</v>
      </c>
      <c r="H116" s="9">
        <f t="shared" ca="1" si="1"/>
        <v>0</v>
      </c>
      <c r="U116" s="2">
        <v>170</v>
      </c>
    </row>
    <row r="117" spans="1:21" x14ac:dyDescent="0.3">
      <c r="A117" s="7" t="s">
        <v>17</v>
      </c>
      <c r="B117" s="7">
        <v>116</v>
      </c>
      <c r="C117" s="8"/>
      <c r="D117" s="8"/>
      <c r="E117" s="9">
        <f t="shared" si="0"/>
        <v>0</v>
      </c>
      <c r="F117" s="10">
        <v>0</v>
      </c>
      <c r="G117" s="10">
        <v>0</v>
      </c>
      <c r="H117" s="9">
        <f t="shared" ca="1" si="1"/>
        <v>0</v>
      </c>
    </row>
    <row r="118" spans="1:21" x14ac:dyDescent="0.3">
      <c r="A118" s="7" t="s">
        <v>17</v>
      </c>
      <c r="B118" s="7">
        <v>117</v>
      </c>
      <c r="C118" s="8"/>
      <c r="D118" s="8"/>
      <c r="E118" s="9">
        <f t="shared" si="0"/>
        <v>0</v>
      </c>
      <c r="F118" s="10">
        <v>0</v>
      </c>
      <c r="G118" s="10">
        <v>0</v>
      </c>
      <c r="H118" s="9">
        <f t="shared" ca="1" si="1"/>
        <v>0</v>
      </c>
    </row>
    <row r="119" spans="1:21" x14ac:dyDescent="0.3">
      <c r="A119" s="7" t="s">
        <v>17</v>
      </c>
      <c r="B119" s="7">
        <v>118</v>
      </c>
      <c r="C119" s="8"/>
      <c r="D119" s="8"/>
      <c r="E119" s="9">
        <f t="shared" si="0"/>
        <v>0</v>
      </c>
      <c r="F119" s="10">
        <v>0</v>
      </c>
      <c r="G119" s="10">
        <v>0</v>
      </c>
      <c r="H119" s="9">
        <f t="shared" ca="1" si="1"/>
        <v>0</v>
      </c>
    </row>
    <row r="120" spans="1:21" x14ac:dyDescent="0.3">
      <c r="A120" s="7" t="s">
        <v>17</v>
      </c>
      <c r="B120" s="7">
        <v>119</v>
      </c>
      <c r="C120" s="8"/>
      <c r="D120" s="8"/>
      <c r="E120" s="9">
        <f t="shared" si="0"/>
        <v>0</v>
      </c>
      <c r="F120" s="10">
        <v>0</v>
      </c>
      <c r="G120" s="10">
        <v>0</v>
      </c>
      <c r="H120" s="9">
        <f t="shared" ca="1" si="1"/>
        <v>0</v>
      </c>
    </row>
    <row r="121" spans="1:21" x14ac:dyDescent="0.3">
      <c r="A121" s="7" t="s">
        <v>17</v>
      </c>
      <c r="B121" s="7">
        <v>120</v>
      </c>
      <c r="C121" s="8"/>
      <c r="D121" s="8"/>
      <c r="E121" s="9">
        <f t="shared" si="0"/>
        <v>0</v>
      </c>
      <c r="F121" s="10">
        <v>0</v>
      </c>
      <c r="G121" s="10">
        <v>0</v>
      </c>
      <c r="H121" s="9">
        <f t="shared" ca="1" si="1"/>
        <v>0</v>
      </c>
    </row>
    <row r="122" spans="1:21" x14ac:dyDescent="0.3">
      <c r="A122" s="7" t="s">
        <v>17</v>
      </c>
      <c r="B122" s="7">
        <v>121</v>
      </c>
      <c r="C122" s="8"/>
      <c r="D122" s="8"/>
      <c r="E122" s="9">
        <f t="shared" si="0"/>
        <v>0</v>
      </c>
      <c r="F122" s="10">
        <v>0</v>
      </c>
      <c r="G122" s="10">
        <v>0</v>
      </c>
      <c r="H122" s="9">
        <f t="shared" ca="1" si="1"/>
        <v>0</v>
      </c>
    </row>
    <row r="123" spans="1:21" x14ac:dyDescent="0.3">
      <c r="A123" s="7" t="s">
        <v>17</v>
      </c>
      <c r="B123" s="7">
        <v>122</v>
      </c>
      <c r="C123" s="8"/>
      <c r="D123" s="8"/>
      <c r="E123" s="9">
        <f t="shared" si="0"/>
        <v>0</v>
      </c>
      <c r="F123" s="10">
        <v>0</v>
      </c>
      <c r="G123" s="10">
        <v>0</v>
      </c>
      <c r="H123" s="9">
        <f t="shared" ca="1" si="1"/>
        <v>0</v>
      </c>
    </row>
    <row r="124" spans="1:21" x14ac:dyDescent="0.3">
      <c r="A124" s="7" t="s">
        <v>17</v>
      </c>
      <c r="B124" s="7">
        <v>123</v>
      </c>
      <c r="C124" s="8"/>
      <c r="D124" s="8"/>
      <c r="E124" s="9">
        <f t="shared" si="0"/>
        <v>0</v>
      </c>
      <c r="F124" s="10">
        <v>0</v>
      </c>
      <c r="G124" s="10">
        <v>0</v>
      </c>
      <c r="H124" s="9">
        <f t="shared" ca="1" si="1"/>
        <v>0</v>
      </c>
    </row>
    <row r="125" spans="1:21" x14ac:dyDescent="0.3">
      <c r="A125" s="7" t="s">
        <v>17</v>
      </c>
      <c r="B125" s="7">
        <v>124</v>
      </c>
      <c r="C125" s="8"/>
      <c r="D125" s="8"/>
      <c r="E125" s="9">
        <f t="shared" si="0"/>
        <v>0</v>
      </c>
      <c r="F125" s="10">
        <v>0</v>
      </c>
      <c r="G125" s="10">
        <v>0</v>
      </c>
      <c r="H125" s="9">
        <f t="shared" ca="1" si="1"/>
        <v>0</v>
      </c>
    </row>
    <row r="126" spans="1:21" x14ac:dyDescent="0.3">
      <c r="A126" s="7" t="s">
        <v>17</v>
      </c>
      <c r="B126" s="7">
        <v>125</v>
      </c>
      <c r="C126" s="8"/>
      <c r="D126" s="8"/>
      <c r="E126" s="9">
        <f t="shared" si="0"/>
        <v>0</v>
      </c>
      <c r="F126" s="10">
        <v>0</v>
      </c>
      <c r="G126" s="10">
        <v>0</v>
      </c>
      <c r="H126" s="9">
        <f t="shared" ca="1" si="1"/>
        <v>0</v>
      </c>
    </row>
    <row r="127" spans="1:21" x14ac:dyDescent="0.3">
      <c r="A127" s="7" t="s">
        <v>17</v>
      </c>
      <c r="B127" s="7">
        <v>126</v>
      </c>
      <c r="C127" s="8"/>
      <c r="D127" s="8"/>
      <c r="E127" s="9">
        <f t="shared" si="0"/>
        <v>0</v>
      </c>
      <c r="F127" s="10">
        <v>0</v>
      </c>
      <c r="G127" s="10">
        <v>0</v>
      </c>
      <c r="H127" s="9">
        <f t="shared" ca="1" si="1"/>
        <v>0</v>
      </c>
    </row>
    <row r="128" spans="1:21" x14ac:dyDescent="0.3">
      <c r="A128" s="7" t="s">
        <v>17</v>
      </c>
      <c r="B128" s="7">
        <v>127</v>
      </c>
      <c r="C128" s="8"/>
      <c r="D128" s="8"/>
      <c r="E128" s="9">
        <f t="shared" si="0"/>
        <v>0</v>
      </c>
      <c r="F128" s="10">
        <v>0</v>
      </c>
      <c r="G128" s="10">
        <v>0</v>
      </c>
      <c r="H128" s="9">
        <f t="shared" ca="1" si="1"/>
        <v>0</v>
      </c>
    </row>
    <row r="129" spans="1:8" x14ac:dyDescent="0.3">
      <c r="A129" s="7" t="s">
        <v>17</v>
      </c>
      <c r="B129" s="7">
        <v>128</v>
      </c>
      <c r="C129" s="8"/>
      <c r="D129" s="8"/>
      <c r="E129" s="9">
        <f t="shared" si="0"/>
        <v>0</v>
      </c>
      <c r="F129" s="10">
        <v>0</v>
      </c>
      <c r="G129" s="10">
        <v>0</v>
      </c>
      <c r="H129" s="9">
        <f t="shared" ca="1" si="1"/>
        <v>0</v>
      </c>
    </row>
    <row r="130" spans="1:8" x14ac:dyDescent="0.3">
      <c r="A130" s="7" t="s">
        <v>17</v>
      </c>
      <c r="B130" s="7">
        <v>129</v>
      </c>
      <c r="C130" s="8"/>
      <c r="D130" s="8"/>
      <c r="E130" s="9">
        <f t="shared" si="0"/>
        <v>0</v>
      </c>
      <c r="F130" s="10">
        <v>0</v>
      </c>
      <c r="G130" s="10">
        <v>0</v>
      </c>
      <c r="H130" s="9">
        <f t="shared" ca="1" si="1"/>
        <v>0</v>
      </c>
    </row>
    <row r="131" spans="1:8" x14ac:dyDescent="0.3">
      <c r="A131" s="7" t="s">
        <v>17</v>
      </c>
      <c r="B131" s="7">
        <v>130</v>
      </c>
      <c r="C131" s="8"/>
      <c r="D131" s="8"/>
      <c r="E131" s="9">
        <f t="shared" si="0"/>
        <v>0</v>
      </c>
      <c r="F131" s="10">
        <v>0</v>
      </c>
      <c r="G131" s="10">
        <v>0</v>
      </c>
      <c r="H131" s="9">
        <f t="shared" ca="1" si="1"/>
        <v>0</v>
      </c>
    </row>
    <row r="132" spans="1:8" x14ac:dyDescent="0.3">
      <c r="A132" s="7" t="s">
        <v>17</v>
      </c>
      <c r="B132" s="7">
        <v>131</v>
      </c>
      <c r="C132" s="8"/>
      <c r="D132" s="8"/>
      <c r="E132" s="9">
        <f t="shared" si="0"/>
        <v>0</v>
      </c>
      <c r="F132" s="10">
        <v>0</v>
      </c>
      <c r="G132" s="10">
        <v>0</v>
      </c>
      <c r="H132" s="9">
        <f t="shared" ca="1" si="1"/>
        <v>0</v>
      </c>
    </row>
    <row r="133" spans="1:8" x14ac:dyDescent="0.3">
      <c r="A133" s="7" t="s">
        <v>17</v>
      </c>
      <c r="B133" s="7">
        <v>132</v>
      </c>
      <c r="C133" s="8"/>
      <c r="D133" s="8"/>
      <c r="E133" s="9">
        <f t="shared" si="0"/>
        <v>0</v>
      </c>
      <c r="F133" s="10">
        <v>0</v>
      </c>
      <c r="G133" s="10">
        <v>0</v>
      </c>
      <c r="H133" s="9">
        <f t="shared" ca="1" si="1"/>
        <v>0</v>
      </c>
    </row>
    <row r="134" spans="1:8" x14ac:dyDescent="0.3">
      <c r="A134" s="7" t="s">
        <v>17</v>
      </c>
      <c r="B134" s="7">
        <v>133</v>
      </c>
      <c r="C134" s="8"/>
      <c r="D134" s="8"/>
      <c r="E134" s="9">
        <f t="shared" si="0"/>
        <v>0</v>
      </c>
      <c r="F134" s="10">
        <v>0</v>
      </c>
      <c r="G134" s="10">
        <v>0</v>
      </c>
      <c r="H134" s="9">
        <f t="shared" ca="1" si="1"/>
        <v>0</v>
      </c>
    </row>
    <row r="135" spans="1:8" x14ac:dyDescent="0.3">
      <c r="A135" s="7" t="s">
        <v>17</v>
      </c>
      <c r="B135" s="7">
        <v>134</v>
      </c>
      <c r="C135" s="8"/>
      <c r="D135" s="8"/>
      <c r="E135" s="9">
        <f t="shared" si="0"/>
        <v>0</v>
      </c>
      <c r="F135" s="10">
        <v>0</v>
      </c>
      <c r="G135" s="10">
        <v>0</v>
      </c>
      <c r="H135" s="9">
        <f t="shared" ca="1" si="1"/>
        <v>0</v>
      </c>
    </row>
    <row r="136" spans="1:8" x14ac:dyDescent="0.3">
      <c r="A136" s="7" t="s">
        <v>17</v>
      </c>
      <c r="B136" s="7">
        <v>135</v>
      </c>
      <c r="C136" s="8"/>
      <c r="D136" s="8"/>
      <c r="E136" s="9">
        <f t="shared" si="0"/>
        <v>0</v>
      </c>
      <c r="F136" s="10">
        <v>0</v>
      </c>
      <c r="G136" s="10">
        <v>0</v>
      </c>
      <c r="H136" s="9">
        <f t="shared" ca="1" si="1"/>
        <v>0</v>
      </c>
    </row>
    <row r="137" spans="1:8" x14ac:dyDescent="0.3">
      <c r="A137" s="7" t="s">
        <v>17</v>
      </c>
      <c r="B137" s="7">
        <v>136</v>
      </c>
      <c r="C137" s="8"/>
      <c r="D137" s="8"/>
      <c r="E137" s="9">
        <f t="shared" si="0"/>
        <v>0</v>
      </c>
      <c r="F137" s="10">
        <v>0</v>
      </c>
      <c r="G137" s="10">
        <v>0</v>
      </c>
      <c r="H137" s="9">
        <f t="shared" ca="1" si="1"/>
        <v>0</v>
      </c>
    </row>
    <row r="138" spans="1:8" x14ac:dyDescent="0.3">
      <c r="A138" s="7" t="s">
        <v>17</v>
      </c>
      <c r="B138" s="7">
        <v>137</v>
      </c>
      <c r="C138" s="8"/>
      <c r="D138" s="8"/>
      <c r="E138" s="9">
        <f t="shared" si="0"/>
        <v>0</v>
      </c>
      <c r="F138" s="10">
        <v>0</v>
      </c>
      <c r="G138" s="10">
        <v>0</v>
      </c>
      <c r="H138" s="9">
        <f t="shared" ca="1" si="1"/>
        <v>0</v>
      </c>
    </row>
    <row r="139" spans="1:8" x14ac:dyDescent="0.3">
      <c r="A139" s="7" t="s">
        <v>17</v>
      </c>
      <c r="B139" s="7">
        <v>138</v>
      </c>
      <c r="C139" s="8"/>
      <c r="D139" s="8"/>
      <c r="E139" s="9">
        <f t="shared" si="0"/>
        <v>0</v>
      </c>
      <c r="F139" s="10">
        <v>0</v>
      </c>
      <c r="G139" s="10">
        <v>0</v>
      </c>
      <c r="H139" s="9">
        <f t="shared" ca="1" si="1"/>
        <v>0</v>
      </c>
    </row>
    <row r="140" spans="1:8" x14ac:dyDescent="0.3">
      <c r="A140" s="7" t="s">
        <v>17</v>
      </c>
      <c r="B140" s="7">
        <v>139</v>
      </c>
      <c r="C140" s="8"/>
      <c r="D140" s="8"/>
      <c r="E140" s="9">
        <f t="shared" si="0"/>
        <v>0</v>
      </c>
      <c r="F140" s="10">
        <v>0</v>
      </c>
      <c r="G140" s="10">
        <v>0</v>
      </c>
      <c r="H140" s="9">
        <f t="shared" ca="1" si="1"/>
        <v>0</v>
      </c>
    </row>
    <row r="141" spans="1:8" x14ac:dyDescent="0.3">
      <c r="A141" s="7" t="s">
        <v>17</v>
      </c>
      <c r="B141" s="7">
        <v>140</v>
      </c>
      <c r="C141" s="8"/>
      <c r="D141" s="8"/>
      <c r="E141" s="9">
        <f t="shared" si="0"/>
        <v>0</v>
      </c>
      <c r="F141" s="10">
        <v>0</v>
      </c>
      <c r="G141" s="10">
        <v>0</v>
      </c>
      <c r="H141" s="9">
        <f t="shared" ca="1" si="1"/>
        <v>0</v>
      </c>
    </row>
    <row r="142" spans="1:8" x14ac:dyDescent="0.3">
      <c r="A142" s="7" t="s">
        <v>17</v>
      </c>
      <c r="B142" s="7">
        <v>141</v>
      </c>
      <c r="C142" s="8"/>
      <c r="D142" s="8"/>
      <c r="E142" s="9">
        <f t="shared" si="0"/>
        <v>0</v>
      </c>
      <c r="F142" s="10">
        <v>0</v>
      </c>
      <c r="G142" s="10">
        <v>0</v>
      </c>
      <c r="H142" s="9">
        <f t="shared" ca="1" si="1"/>
        <v>0</v>
      </c>
    </row>
    <row r="143" spans="1:8" x14ac:dyDescent="0.3">
      <c r="A143" s="2" t="s">
        <v>14</v>
      </c>
      <c r="B143" s="3">
        <v>142</v>
      </c>
      <c r="C143" s="4" t="s">
        <v>15</v>
      </c>
      <c r="D143" s="5" t="s">
        <v>16</v>
      </c>
      <c r="E143" s="3" t="s">
        <v>18</v>
      </c>
      <c r="F143" s="3">
        <v>4</v>
      </c>
      <c r="G143" s="3">
        <v>0</v>
      </c>
      <c r="H143" s="6">
        <f>IF(COUNTIF(C2:C233, 142) &gt; 0, 0, 0)</f>
        <v>0</v>
      </c>
    </row>
    <row r="144" spans="1:8" x14ac:dyDescent="0.3">
      <c r="A144" s="2" t="s">
        <v>14</v>
      </c>
      <c r="B144" s="3">
        <v>143</v>
      </c>
      <c r="C144" s="4" t="s">
        <v>15</v>
      </c>
      <c r="D144" s="5" t="s">
        <v>16</v>
      </c>
      <c r="E144" s="3" t="s">
        <v>18</v>
      </c>
      <c r="F144" s="3">
        <v>1</v>
      </c>
      <c r="G144" s="3">
        <v>1</v>
      </c>
      <c r="H144" s="6">
        <f>IF(COUNTIF(C2:C233, 143) &gt; 0, 0, 1)</f>
        <v>1</v>
      </c>
    </row>
    <row r="145" spans="1:8" x14ac:dyDescent="0.3">
      <c r="A145" s="2" t="s">
        <v>14</v>
      </c>
      <c r="B145" s="3">
        <v>144</v>
      </c>
      <c r="C145" s="4" t="s">
        <v>15</v>
      </c>
      <c r="D145" s="5" t="s">
        <v>16</v>
      </c>
      <c r="E145" s="3" t="s">
        <v>18</v>
      </c>
      <c r="F145" s="3">
        <v>4</v>
      </c>
      <c r="G145" s="3">
        <v>0</v>
      </c>
      <c r="H145" s="6">
        <f>IF(COUNTIF(C2:C233, 144) &gt; 0, 0, 0)</f>
        <v>0</v>
      </c>
    </row>
    <row r="146" spans="1:8" x14ac:dyDescent="0.3">
      <c r="A146" s="2" t="s">
        <v>14</v>
      </c>
      <c r="B146" s="3">
        <v>145</v>
      </c>
      <c r="C146" s="4" t="s">
        <v>15</v>
      </c>
      <c r="D146" s="5" t="s">
        <v>16</v>
      </c>
      <c r="E146" s="3" t="s">
        <v>18</v>
      </c>
      <c r="F146" s="3">
        <v>11</v>
      </c>
      <c r="G146" s="3">
        <v>0</v>
      </c>
      <c r="H146" s="6">
        <f>IF(COUNTIF(C2:C233, 145) &gt; 0, 0, 0)</f>
        <v>0</v>
      </c>
    </row>
    <row r="147" spans="1:8" x14ac:dyDescent="0.3">
      <c r="A147" s="2" t="s">
        <v>14</v>
      </c>
      <c r="B147" s="3">
        <v>146</v>
      </c>
      <c r="C147" s="4" t="s">
        <v>15</v>
      </c>
      <c r="D147" s="5" t="s">
        <v>16</v>
      </c>
      <c r="E147" s="3" t="s">
        <v>18</v>
      </c>
      <c r="F147" s="3">
        <v>10</v>
      </c>
      <c r="G147" s="3">
        <v>0</v>
      </c>
      <c r="H147" s="6">
        <f>IF(COUNTIF(C2:C233, 146) &gt; 0, 0, 0)</f>
        <v>0</v>
      </c>
    </row>
    <row r="148" spans="1:8" x14ac:dyDescent="0.3">
      <c r="A148" s="2" t="s">
        <v>14</v>
      </c>
      <c r="B148" s="3">
        <v>147</v>
      </c>
      <c r="C148" s="4" t="s">
        <v>15</v>
      </c>
      <c r="D148" s="5" t="s">
        <v>16</v>
      </c>
      <c r="E148" s="3" t="s">
        <v>18</v>
      </c>
      <c r="F148" s="3">
        <v>6</v>
      </c>
      <c r="G148" s="3">
        <v>0</v>
      </c>
      <c r="H148" s="6">
        <f>IF(COUNTIF(C2:C233, 147) &gt; 0, 0, 0)</f>
        <v>0</v>
      </c>
    </row>
    <row r="149" spans="1:8" x14ac:dyDescent="0.3">
      <c r="A149" s="2" t="s">
        <v>14</v>
      </c>
      <c r="B149" s="3">
        <v>148</v>
      </c>
      <c r="C149" s="4" t="s">
        <v>15</v>
      </c>
      <c r="D149" s="5" t="s">
        <v>16</v>
      </c>
      <c r="E149" s="3" t="s">
        <v>18</v>
      </c>
      <c r="F149" s="3">
        <v>3</v>
      </c>
      <c r="G149" s="3">
        <v>0</v>
      </c>
      <c r="H149" s="6">
        <f>IF(COUNTIF(C2:C233, 148) &gt; 0, 0, 0)</f>
        <v>0</v>
      </c>
    </row>
    <row r="150" spans="1:8" x14ac:dyDescent="0.3">
      <c r="A150" s="2" t="s">
        <v>14</v>
      </c>
      <c r="B150" s="3">
        <v>149</v>
      </c>
      <c r="C150" s="4" t="s">
        <v>15</v>
      </c>
      <c r="D150" s="5" t="s">
        <v>16</v>
      </c>
      <c r="E150" s="3" t="s">
        <v>18</v>
      </c>
      <c r="F150" s="3">
        <v>5</v>
      </c>
      <c r="G150" s="3">
        <v>0</v>
      </c>
      <c r="H150" s="6">
        <f>IF(COUNTIF(C2:C233, 149) &gt; 0, 0, 0)</f>
        <v>0</v>
      </c>
    </row>
    <row r="151" spans="1:8" x14ac:dyDescent="0.3">
      <c r="A151" s="2" t="s">
        <v>14</v>
      </c>
      <c r="B151" s="3">
        <v>150</v>
      </c>
      <c r="C151" s="4" t="s">
        <v>15</v>
      </c>
      <c r="D151" s="5" t="s">
        <v>16</v>
      </c>
      <c r="E151" s="3" t="s">
        <v>18</v>
      </c>
      <c r="F151" s="3">
        <v>10</v>
      </c>
      <c r="G151" s="3">
        <v>0</v>
      </c>
      <c r="H151" s="6">
        <f>IF(COUNTIF(C2:C233, 150) &gt; 0, 0, 0)</f>
        <v>0</v>
      </c>
    </row>
    <row r="152" spans="1:8" x14ac:dyDescent="0.3">
      <c r="A152" s="2" t="s">
        <v>14</v>
      </c>
      <c r="B152" s="3">
        <v>151</v>
      </c>
      <c r="C152" s="4" t="s">
        <v>15</v>
      </c>
      <c r="D152" s="5" t="s">
        <v>16</v>
      </c>
      <c r="E152" s="3" t="s">
        <v>18</v>
      </c>
      <c r="F152" s="3">
        <v>6</v>
      </c>
      <c r="G152" s="3">
        <v>0</v>
      </c>
      <c r="H152" s="6">
        <f>IF(COUNTIF(C2:C233, 151) &gt; 0, 0, 0)</f>
        <v>0</v>
      </c>
    </row>
    <row r="153" spans="1:8" x14ac:dyDescent="0.3">
      <c r="A153" s="2" t="s">
        <v>14</v>
      </c>
      <c r="B153" s="3">
        <v>152</v>
      </c>
      <c r="C153" s="4" t="s">
        <v>15</v>
      </c>
      <c r="D153" s="5" t="s">
        <v>16</v>
      </c>
      <c r="E153" s="3" t="s">
        <v>18</v>
      </c>
      <c r="F153" s="3">
        <v>7</v>
      </c>
      <c r="G153" s="3">
        <v>0</v>
      </c>
      <c r="H153" s="6">
        <f>IF(COUNTIF(C2:C233, 152) &gt; 0, 0, 0)</f>
        <v>0</v>
      </c>
    </row>
    <row r="154" spans="1:8" x14ac:dyDescent="0.3">
      <c r="A154" s="2" t="s">
        <v>14</v>
      </c>
      <c r="B154" s="3">
        <v>153</v>
      </c>
      <c r="C154" s="4" t="s">
        <v>15</v>
      </c>
      <c r="D154" s="5" t="s">
        <v>16</v>
      </c>
      <c r="E154" s="3" t="s">
        <v>18</v>
      </c>
      <c r="F154" s="3">
        <v>7</v>
      </c>
      <c r="G154" s="3">
        <v>0</v>
      </c>
      <c r="H154" s="6">
        <f>IF(COUNTIF(C2:C233, 153) &gt; 0, 0, 0)</f>
        <v>0</v>
      </c>
    </row>
    <row r="155" spans="1:8" x14ac:dyDescent="0.3">
      <c r="A155" s="2" t="s">
        <v>14</v>
      </c>
      <c r="B155" s="3">
        <v>154</v>
      </c>
      <c r="C155" s="4" t="s">
        <v>15</v>
      </c>
      <c r="D155" s="5" t="s">
        <v>16</v>
      </c>
      <c r="E155" s="3" t="s">
        <v>18</v>
      </c>
      <c r="F155" s="3">
        <v>8</v>
      </c>
      <c r="G155" s="3">
        <v>0</v>
      </c>
      <c r="H155" s="6">
        <f>IF(COUNTIF(C2:C233, 154) &gt; 0, 0, 0)</f>
        <v>0</v>
      </c>
    </row>
    <row r="156" spans="1:8" x14ac:dyDescent="0.3">
      <c r="A156" s="2" t="s">
        <v>14</v>
      </c>
      <c r="B156" s="3">
        <v>155</v>
      </c>
      <c r="C156" s="4" t="s">
        <v>15</v>
      </c>
      <c r="D156" s="5" t="s">
        <v>16</v>
      </c>
      <c r="E156" s="3" t="s">
        <v>18</v>
      </c>
      <c r="F156" s="3">
        <v>3</v>
      </c>
      <c r="G156" s="3">
        <v>0</v>
      </c>
      <c r="H156" s="6">
        <f>IF(COUNTIF(C2:C233, 155) &gt; 0, 0, 0)</f>
        <v>0</v>
      </c>
    </row>
    <row r="157" spans="1:8" x14ac:dyDescent="0.3">
      <c r="A157" s="2" t="s">
        <v>14</v>
      </c>
      <c r="B157" s="3">
        <v>156</v>
      </c>
      <c r="C157" s="4" t="s">
        <v>15</v>
      </c>
      <c r="D157" s="5" t="s">
        <v>16</v>
      </c>
      <c r="E157" s="3" t="s">
        <v>18</v>
      </c>
      <c r="F157" s="3">
        <v>4</v>
      </c>
      <c r="G157" s="3">
        <v>1</v>
      </c>
      <c r="H157" s="6">
        <f>IF(COUNTIF(C2:C233, 156) &gt; 0, 0, 1)</f>
        <v>1</v>
      </c>
    </row>
    <row r="158" spans="1:8" x14ac:dyDescent="0.3">
      <c r="A158" s="2" t="s">
        <v>14</v>
      </c>
      <c r="B158" s="3">
        <v>157</v>
      </c>
      <c r="C158" s="4" t="s">
        <v>15</v>
      </c>
      <c r="D158" s="5" t="s">
        <v>16</v>
      </c>
      <c r="E158" s="3" t="s">
        <v>18</v>
      </c>
      <c r="F158" s="3">
        <v>4</v>
      </c>
      <c r="G158" s="3">
        <v>0</v>
      </c>
      <c r="H158" s="6">
        <f>IF(COUNTIF(C2:C233, 157) &gt; 0, 0, 0)</f>
        <v>0</v>
      </c>
    </row>
    <row r="159" spans="1:8" x14ac:dyDescent="0.3">
      <c r="A159" s="2" t="s">
        <v>14</v>
      </c>
      <c r="B159" s="3">
        <v>158</v>
      </c>
      <c r="C159" s="4" t="s">
        <v>15</v>
      </c>
      <c r="D159" s="5" t="s">
        <v>16</v>
      </c>
      <c r="E159" s="3" t="s">
        <v>18</v>
      </c>
      <c r="F159" s="3">
        <v>8</v>
      </c>
      <c r="G159" s="3">
        <v>0</v>
      </c>
      <c r="H159" s="6">
        <f>IF(COUNTIF(C2:C233, 158) &gt; 0, 0, 0)</f>
        <v>0</v>
      </c>
    </row>
    <row r="160" spans="1:8" x14ac:dyDescent="0.3">
      <c r="A160" s="2" t="s">
        <v>14</v>
      </c>
      <c r="B160" s="3">
        <v>159</v>
      </c>
      <c r="C160" s="4" t="s">
        <v>15</v>
      </c>
      <c r="D160" s="5" t="s">
        <v>16</v>
      </c>
      <c r="E160" s="3" t="s">
        <v>18</v>
      </c>
      <c r="F160" s="3">
        <v>4</v>
      </c>
      <c r="G160" s="3">
        <v>0</v>
      </c>
      <c r="H160" s="6">
        <f>IF(COUNTIF(C2:C233, 159) &gt; 0, 0, 0)</f>
        <v>0</v>
      </c>
    </row>
    <row r="161" spans="1:11" x14ac:dyDescent="0.3">
      <c r="A161" s="2" t="s">
        <v>14</v>
      </c>
      <c r="B161" s="3">
        <v>160</v>
      </c>
      <c r="C161" s="4" t="s">
        <v>15</v>
      </c>
      <c r="D161" s="5" t="s">
        <v>16</v>
      </c>
      <c r="E161" s="3" t="s">
        <v>18</v>
      </c>
      <c r="F161" s="3">
        <v>4</v>
      </c>
      <c r="G161" s="3">
        <v>1</v>
      </c>
      <c r="H161" s="6">
        <f>IF(COUNTIF(C2:C233, 160) &gt; 0, 0, 1)</f>
        <v>1</v>
      </c>
    </row>
    <row r="162" spans="1:11" x14ac:dyDescent="0.3">
      <c r="A162" s="2" t="s">
        <v>14</v>
      </c>
      <c r="B162" s="3">
        <v>161</v>
      </c>
      <c r="C162" s="4" t="s">
        <v>15</v>
      </c>
      <c r="D162" s="5" t="s">
        <v>16</v>
      </c>
      <c r="E162" s="3" t="s">
        <v>18</v>
      </c>
      <c r="F162" s="3">
        <v>3</v>
      </c>
      <c r="G162" s="3">
        <v>0</v>
      </c>
      <c r="H162" s="6">
        <f>IF(COUNTIF(C2:C233, 161) &gt; 0, 0, 0)</f>
        <v>0</v>
      </c>
    </row>
    <row r="163" spans="1:11" x14ac:dyDescent="0.3">
      <c r="A163" s="2" t="s">
        <v>14</v>
      </c>
      <c r="B163" s="3">
        <v>162</v>
      </c>
      <c r="C163" s="4" t="s">
        <v>15</v>
      </c>
      <c r="D163" s="5" t="s">
        <v>16</v>
      </c>
      <c r="E163" s="3" t="s">
        <v>18</v>
      </c>
      <c r="F163" s="3">
        <v>3</v>
      </c>
      <c r="G163" s="3">
        <v>0</v>
      </c>
      <c r="H163" s="6">
        <f>IF(COUNTIF(C2:C233, 162) &gt; 0, 0, 0)</f>
        <v>0</v>
      </c>
    </row>
    <row r="164" spans="1:11" x14ac:dyDescent="0.3">
      <c r="A164" s="2" t="s">
        <v>14</v>
      </c>
      <c r="B164" s="3">
        <v>163</v>
      </c>
      <c r="C164" s="4" t="s">
        <v>15</v>
      </c>
      <c r="D164" s="5" t="s">
        <v>16</v>
      </c>
      <c r="E164" s="3" t="s">
        <v>18</v>
      </c>
      <c r="F164" s="3">
        <v>4</v>
      </c>
      <c r="G164" s="3">
        <v>1</v>
      </c>
      <c r="H164" s="6">
        <f>IF(COUNTIF(C2:C233, 163) &gt; 0, 0, 1)</f>
        <v>1</v>
      </c>
    </row>
    <row r="165" spans="1:11" x14ac:dyDescent="0.3">
      <c r="A165" s="2" t="s">
        <v>14</v>
      </c>
      <c r="B165" s="3">
        <v>164</v>
      </c>
      <c r="C165" s="4" t="s">
        <v>15</v>
      </c>
      <c r="D165" s="5" t="s">
        <v>16</v>
      </c>
      <c r="E165" s="3" t="s">
        <v>18</v>
      </c>
      <c r="F165" s="3">
        <v>4</v>
      </c>
      <c r="G165" s="3">
        <v>0</v>
      </c>
      <c r="H165" s="6">
        <f>IF(COUNTIF(C2:C233, 164) &gt; 0, 0, 0)</f>
        <v>0</v>
      </c>
    </row>
    <row r="166" spans="1:11" x14ac:dyDescent="0.3">
      <c r="A166" s="2" t="s">
        <v>14</v>
      </c>
      <c r="B166" s="3">
        <v>165</v>
      </c>
      <c r="C166" s="4" t="s">
        <v>15</v>
      </c>
      <c r="D166" s="5" t="s">
        <v>16</v>
      </c>
      <c r="E166" s="3" t="s">
        <v>18</v>
      </c>
      <c r="F166" s="3">
        <v>4</v>
      </c>
      <c r="G166" s="3">
        <v>0</v>
      </c>
      <c r="H166" s="6">
        <f>IF(COUNTIF(C2:C233, 165) &gt; 0, 0, 0)</f>
        <v>0</v>
      </c>
    </row>
    <row r="167" spans="1:11" x14ac:dyDescent="0.3">
      <c r="A167" s="2" t="s">
        <v>14</v>
      </c>
      <c r="B167" s="3">
        <v>166</v>
      </c>
      <c r="C167" s="4" t="s">
        <v>15</v>
      </c>
      <c r="D167" s="5" t="s">
        <v>16</v>
      </c>
      <c r="E167" s="3" t="s">
        <v>18</v>
      </c>
      <c r="F167" s="3">
        <v>9</v>
      </c>
      <c r="G167" s="3">
        <v>0</v>
      </c>
      <c r="H167" s="6">
        <f>IF(COUNTIF(C2:C233, 166) &gt; 0, 0, 0)</f>
        <v>0</v>
      </c>
    </row>
    <row r="168" spans="1:11" x14ac:dyDescent="0.3">
      <c r="A168" s="7" t="s">
        <v>17</v>
      </c>
      <c r="B168" s="7">
        <v>167</v>
      </c>
      <c r="C168" s="8"/>
      <c r="D168" s="8"/>
      <c r="E168" s="9">
        <f>C168</f>
        <v>0</v>
      </c>
      <c r="F168" s="10">
        <v>0</v>
      </c>
      <c r="G168" s="10">
        <v>0</v>
      </c>
      <c r="H168" s="9">
        <f ca="1">IF(ISBLANK(C168), 0, INDIRECT("G"&amp; C168+1))</f>
        <v>0</v>
      </c>
    </row>
    <row r="169" spans="1:11" x14ac:dyDescent="0.3">
      <c r="A169" s="7" t="s">
        <v>17</v>
      </c>
      <c r="B169" s="7">
        <v>168</v>
      </c>
      <c r="C169" s="8"/>
      <c r="D169" s="8"/>
      <c r="E169" s="9">
        <f>C169</f>
        <v>0</v>
      </c>
      <c r="F169" s="10">
        <v>0</v>
      </c>
      <c r="G169" s="10">
        <v>0</v>
      </c>
      <c r="H169" s="9">
        <f ca="1">IF(ISBLANK(C169), 0, INDIRECT("G"&amp; C169+1))</f>
        <v>0</v>
      </c>
    </row>
    <row r="170" spans="1:11" x14ac:dyDescent="0.3">
      <c r="A170" s="7" t="s">
        <v>17</v>
      </c>
      <c r="B170" s="7">
        <v>169</v>
      </c>
      <c r="C170" s="8"/>
      <c r="D170" s="8"/>
      <c r="E170" s="9">
        <f>C170</f>
        <v>0</v>
      </c>
      <c r="F170" s="10">
        <v>0</v>
      </c>
      <c r="G170" s="10">
        <v>0</v>
      </c>
      <c r="H170" s="9">
        <f ca="1">IF(ISBLANK(C170), 0, INDIRECT("G"&amp; C170+1))</f>
        <v>0</v>
      </c>
    </row>
    <row r="171" spans="1:11" x14ac:dyDescent="0.3">
      <c r="A171" s="2" t="s">
        <v>14</v>
      </c>
      <c r="B171" s="3">
        <v>170</v>
      </c>
      <c r="C171" s="4" t="s">
        <v>15</v>
      </c>
      <c r="D171" s="5" t="s">
        <v>16</v>
      </c>
      <c r="E171" s="3" t="s">
        <v>18</v>
      </c>
      <c r="F171" s="3">
        <v>0</v>
      </c>
      <c r="G171" s="3">
        <v>3</v>
      </c>
      <c r="H171" s="6">
        <f>IF(COUNTIF(C2:C233, 170) &gt; 0, 0, 3)</f>
        <v>3</v>
      </c>
    </row>
    <row r="172" spans="1:11" x14ac:dyDescent="0.3">
      <c r="A172" s="13" t="s">
        <v>19</v>
      </c>
      <c r="B172" s="13">
        <v>171</v>
      </c>
      <c r="C172" s="14"/>
      <c r="D172" s="14"/>
      <c r="E172" s="15">
        <f>C172</f>
        <v>0</v>
      </c>
      <c r="F172" s="15">
        <v>0</v>
      </c>
      <c r="G172" s="15">
        <v>0</v>
      </c>
      <c r="H172" s="15">
        <f ca="1">IF(ISBLANK(C172), 0, INDIRECT("G"&amp; C172+1))</f>
        <v>0</v>
      </c>
      <c r="J172" s="16"/>
      <c r="K172" s="16"/>
    </row>
  </sheetData>
  <sheetProtection password="C7A4" sheet="1" objects="1" scenarios="1"/>
  <mergeCells count="1">
    <mergeCell ref="J172:K172"/>
  </mergeCells>
  <conditionalFormatting sqref="E110">
    <cfRule type="cellIs" dxfId="301" priority="19" operator="equal">
      <formula>0</formula>
    </cfRule>
  </conditionalFormatting>
  <conditionalFormatting sqref="E111">
    <cfRule type="cellIs" dxfId="300" priority="20" operator="equal">
      <formula>0</formula>
    </cfRule>
  </conditionalFormatting>
  <conditionalFormatting sqref="E112">
    <cfRule type="cellIs" dxfId="299" priority="21" operator="equal">
      <formula>0</formula>
    </cfRule>
  </conditionalFormatting>
  <conditionalFormatting sqref="E113">
    <cfRule type="cellIs" dxfId="298" priority="22" operator="equal">
      <formula>0</formula>
    </cfRule>
  </conditionalFormatting>
  <conditionalFormatting sqref="E114">
    <cfRule type="cellIs" dxfId="297" priority="23" operator="equal">
      <formula>0</formula>
    </cfRule>
  </conditionalFormatting>
  <conditionalFormatting sqref="E115">
    <cfRule type="cellIs" dxfId="296" priority="24" operator="equal">
      <formula>0</formula>
    </cfRule>
  </conditionalFormatting>
  <conditionalFormatting sqref="E116">
    <cfRule type="cellIs" dxfId="295" priority="25" operator="equal">
      <formula>0</formula>
    </cfRule>
  </conditionalFormatting>
  <conditionalFormatting sqref="E117">
    <cfRule type="cellIs" dxfId="294" priority="26" operator="equal">
      <formula>0</formula>
    </cfRule>
  </conditionalFormatting>
  <conditionalFormatting sqref="E118">
    <cfRule type="cellIs" dxfId="293" priority="27" operator="equal">
      <formula>0</formula>
    </cfRule>
  </conditionalFormatting>
  <conditionalFormatting sqref="E119">
    <cfRule type="cellIs" dxfId="292" priority="28" operator="equal">
      <formula>0</formula>
    </cfRule>
  </conditionalFormatting>
  <conditionalFormatting sqref="E120">
    <cfRule type="cellIs" dxfId="291" priority="29" operator="equal">
      <formula>0</formula>
    </cfRule>
  </conditionalFormatting>
  <conditionalFormatting sqref="E121">
    <cfRule type="cellIs" dxfId="290" priority="30" operator="equal">
      <formula>0</formula>
    </cfRule>
  </conditionalFormatting>
  <conditionalFormatting sqref="E122">
    <cfRule type="cellIs" dxfId="289" priority="31" operator="equal">
      <formula>0</formula>
    </cfRule>
  </conditionalFormatting>
  <conditionalFormatting sqref="E123">
    <cfRule type="cellIs" dxfId="288" priority="32" operator="equal">
      <formula>0</formula>
    </cfRule>
  </conditionalFormatting>
  <conditionalFormatting sqref="E124">
    <cfRule type="cellIs" dxfId="287" priority="33" operator="equal">
      <formula>0</formula>
    </cfRule>
  </conditionalFormatting>
  <conditionalFormatting sqref="E125">
    <cfRule type="cellIs" dxfId="286" priority="34" operator="equal">
      <formula>0</formula>
    </cfRule>
  </conditionalFormatting>
  <conditionalFormatting sqref="E126">
    <cfRule type="cellIs" dxfId="285" priority="35" operator="equal">
      <formula>0</formula>
    </cfRule>
  </conditionalFormatting>
  <conditionalFormatting sqref="E127">
    <cfRule type="cellIs" dxfId="284" priority="36" operator="equal">
      <formula>0</formula>
    </cfRule>
  </conditionalFormatting>
  <conditionalFormatting sqref="E128">
    <cfRule type="cellIs" dxfId="283" priority="37" operator="equal">
      <formula>0</formula>
    </cfRule>
  </conditionalFormatting>
  <conditionalFormatting sqref="E129">
    <cfRule type="cellIs" dxfId="282" priority="38" operator="equal">
      <formula>0</formula>
    </cfRule>
  </conditionalFormatting>
  <conditionalFormatting sqref="E130">
    <cfRule type="cellIs" dxfId="281" priority="39" operator="equal">
      <formula>0</formula>
    </cfRule>
  </conditionalFormatting>
  <conditionalFormatting sqref="E131">
    <cfRule type="cellIs" dxfId="280" priority="40" operator="equal">
      <formula>0</formula>
    </cfRule>
  </conditionalFormatting>
  <conditionalFormatting sqref="E132">
    <cfRule type="cellIs" dxfId="279" priority="41" operator="equal">
      <formula>0</formula>
    </cfRule>
  </conditionalFormatting>
  <conditionalFormatting sqref="E133">
    <cfRule type="cellIs" dxfId="278" priority="42" operator="equal">
      <formula>0</formula>
    </cfRule>
  </conditionalFormatting>
  <conditionalFormatting sqref="E134">
    <cfRule type="cellIs" dxfId="277" priority="43" operator="equal">
      <formula>0</formula>
    </cfRule>
  </conditionalFormatting>
  <conditionalFormatting sqref="E135">
    <cfRule type="cellIs" dxfId="276" priority="44" operator="equal">
      <formula>0</formula>
    </cfRule>
  </conditionalFormatting>
  <conditionalFormatting sqref="E136">
    <cfRule type="cellIs" dxfId="275" priority="45" operator="equal">
      <formula>0</formula>
    </cfRule>
  </conditionalFormatting>
  <conditionalFormatting sqref="E137">
    <cfRule type="cellIs" dxfId="274" priority="46" operator="equal">
      <formula>0</formula>
    </cfRule>
  </conditionalFormatting>
  <conditionalFormatting sqref="E138">
    <cfRule type="cellIs" dxfId="273" priority="47" operator="equal">
      <formula>0</formula>
    </cfRule>
  </conditionalFormatting>
  <conditionalFormatting sqref="E139">
    <cfRule type="cellIs" dxfId="272" priority="48" operator="equal">
      <formula>0</formula>
    </cfRule>
  </conditionalFormatting>
  <conditionalFormatting sqref="E140">
    <cfRule type="cellIs" dxfId="271" priority="49" operator="equal">
      <formula>0</formula>
    </cfRule>
  </conditionalFormatting>
  <conditionalFormatting sqref="E141">
    <cfRule type="cellIs" dxfId="270" priority="50" operator="equal">
      <formula>0</formula>
    </cfRule>
  </conditionalFormatting>
  <conditionalFormatting sqref="E142">
    <cfRule type="cellIs" dxfId="269" priority="51" operator="equal">
      <formula>0</formula>
    </cfRule>
  </conditionalFormatting>
  <conditionalFormatting sqref="E168">
    <cfRule type="cellIs" dxfId="268" priority="52" operator="equal">
      <formula>0</formula>
    </cfRule>
  </conditionalFormatting>
  <conditionalFormatting sqref="E169">
    <cfRule type="cellIs" dxfId="267" priority="53" operator="equal">
      <formula>0</formula>
    </cfRule>
  </conditionalFormatting>
  <conditionalFormatting sqref="E170">
    <cfRule type="cellIs" dxfId="266" priority="54" operator="equal">
      <formula>0</formula>
    </cfRule>
  </conditionalFormatting>
  <conditionalFormatting sqref="E172">
    <cfRule type="expression" dxfId="265" priority="55">
      <formula>AND(ISBLANK(C172), NOT(ISBLANK(A172)))</formula>
    </cfRule>
  </conditionalFormatting>
  <conditionalFormatting sqref="E173">
    <cfRule type="expression" dxfId="264" priority="59">
      <formula>AND(ISBLANK(C173), NOT(ISBLANK(A173)))</formula>
    </cfRule>
  </conditionalFormatting>
  <conditionalFormatting sqref="E174">
    <cfRule type="expression" dxfId="263" priority="63">
      <formula>AND(ISBLANK(C174), NOT(ISBLANK(A174)))</formula>
    </cfRule>
  </conditionalFormatting>
  <conditionalFormatting sqref="E175">
    <cfRule type="expression" dxfId="262" priority="67">
      <formula>AND(ISBLANK(C175), NOT(ISBLANK(A175)))</formula>
    </cfRule>
  </conditionalFormatting>
  <conditionalFormatting sqref="E176">
    <cfRule type="expression" dxfId="261" priority="71">
      <formula>AND(ISBLANK(C176), NOT(ISBLANK(A176)))</formula>
    </cfRule>
  </conditionalFormatting>
  <conditionalFormatting sqref="E177">
    <cfRule type="expression" dxfId="260" priority="75">
      <formula>AND(ISBLANK(C177), NOT(ISBLANK(A177)))</formula>
    </cfRule>
  </conditionalFormatting>
  <conditionalFormatting sqref="E178">
    <cfRule type="expression" dxfId="259" priority="79">
      <formula>AND(ISBLANK(C178), NOT(ISBLANK(A178)))</formula>
    </cfRule>
  </conditionalFormatting>
  <conditionalFormatting sqref="E179">
    <cfRule type="expression" dxfId="258" priority="83">
      <formula>AND(ISBLANK(C179), NOT(ISBLANK(A179)))</formula>
    </cfRule>
  </conditionalFormatting>
  <conditionalFormatting sqref="E180">
    <cfRule type="expression" dxfId="257" priority="87">
      <formula>AND(ISBLANK(C180), NOT(ISBLANK(A180)))</formula>
    </cfRule>
  </conditionalFormatting>
  <conditionalFormatting sqref="E181">
    <cfRule type="expression" dxfId="256" priority="91">
      <formula>AND(ISBLANK(C181), NOT(ISBLANK(A181)))</formula>
    </cfRule>
  </conditionalFormatting>
  <conditionalFormatting sqref="E182">
    <cfRule type="expression" dxfId="255" priority="95">
      <formula>AND(ISBLANK(C182), NOT(ISBLANK(A182)))</formula>
    </cfRule>
  </conditionalFormatting>
  <conditionalFormatting sqref="E183">
    <cfRule type="expression" dxfId="254" priority="99">
      <formula>AND(ISBLANK(C183), NOT(ISBLANK(A183)))</formula>
    </cfRule>
  </conditionalFormatting>
  <conditionalFormatting sqref="E184">
    <cfRule type="expression" dxfId="253" priority="103">
      <formula>AND(ISBLANK(C184), NOT(ISBLANK(A184)))</formula>
    </cfRule>
  </conditionalFormatting>
  <conditionalFormatting sqref="E185">
    <cfRule type="expression" dxfId="252" priority="107">
      <formula>AND(ISBLANK(C185), NOT(ISBLANK(A185)))</formula>
    </cfRule>
  </conditionalFormatting>
  <conditionalFormatting sqref="E186">
    <cfRule type="expression" dxfId="251" priority="111">
      <formula>AND(ISBLANK(C186), NOT(ISBLANK(A186)))</formula>
    </cfRule>
  </conditionalFormatting>
  <conditionalFormatting sqref="E187">
    <cfRule type="expression" dxfId="250" priority="115">
      <formula>AND(ISBLANK(C187), NOT(ISBLANK(A187)))</formula>
    </cfRule>
  </conditionalFormatting>
  <conditionalFormatting sqref="E188">
    <cfRule type="expression" dxfId="249" priority="119">
      <formula>AND(ISBLANK(C188), NOT(ISBLANK(A188)))</formula>
    </cfRule>
  </conditionalFormatting>
  <conditionalFormatting sqref="E189">
    <cfRule type="expression" dxfId="248" priority="123">
      <formula>AND(ISBLANK(C189), NOT(ISBLANK(A189)))</formula>
    </cfRule>
  </conditionalFormatting>
  <conditionalFormatting sqref="E190">
    <cfRule type="expression" dxfId="247" priority="127">
      <formula>AND(ISBLANK(C190), NOT(ISBLANK(A190)))</formula>
    </cfRule>
  </conditionalFormatting>
  <conditionalFormatting sqref="E191">
    <cfRule type="expression" dxfId="246" priority="131">
      <formula>AND(ISBLANK(C191), NOT(ISBLANK(A191)))</formula>
    </cfRule>
  </conditionalFormatting>
  <conditionalFormatting sqref="E192">
    <cfRule type="expression" dxfId="245" priority="135">
      <formula>AND(ISBLANK(C192), NOT(ISBLANK(A192)))</formula>
    </cfRule>
  </conditionalFormatting>
  <conditionalFormatting sqref="E193">
    <cfRule type="expression" dxfId="244" priority="139">
      <formula>AND(ISBLANK(C193), NOT(ISBLANK(A193)))</formula>
    </cfRule>
  </conditionalFormatting>
  <conditionalFormatting sqref="E194">
    <cfRule type="expression" dxfId="243" priority="143">
      <formula>AND(ISBLANK(C194), NOT(ISBLANK(A194)))</formula>
    </cfRule>
  </conditionalFormatting>
  <conditionalFormatting sqref="E195">
    <cfRule type="expression" dxfId="242" priority="147">
      <formula>AND(ISBLANK(C195), NOT(ISBLANK(A195)))</formula>
    </cfRule>
  </conditionalFormatting>
  <conditionalFormatting sqref="E196">
    <cfRule type="expression" dxfId="241" priority="151">
      <formula>AND(ISBLANK(C196), NOT(ISBLANK(A196)))</formula>
    </cfRule>
  </conditionalFormatting>
  <conditionalFormatting sqref="E197">
    <cfRule type="expression" dxfId="240" priority="155">
      <formula>AND(ISBLANK(C197), NOT(ISBLANK(A197)))</formula>
    </cfRule>
  </conditionalFormatting>
  <conditionalFormatting sqref="E198">
    <cfRule type="expression" dxfId="239" priority="159">
      <formula>AND(ISBLANK(C198), NOT(ISBLANK(A198)))</formula>
    </cfRule>
  </conditionalFormatting>
  <conditionalFormatting sqref="E199">
    <cfRule type="expression" dxfId="238" priority="163">
      <formula>AND(ISBLANK(C199), NOT(ISBLANK(A199)))</formula>
    </cfRule>
  </conditionalFormatting>
  <conditionalFormatting sqref="E200">
    <cfRule type="expression" dxfId="237" priority="167">
      <formula>AND(ISBLANK(C200), NOT(ISBLANK(A200)))</formula>
    </cfRule>
  </conditionalFormatting>
  <conditionalFormatting sqref="E201">
    <cfRule type="expression" dxfId="236" priority="171">
      <formula>AND(ISBLANK(C201), NOT(ISBLANK(A201)))</formula>
    </cfRule>
  </conditionalFormatting>
  <conditionalFormatting sqref="E202">
    <cfRule type="expression" dxfId="235" priority="175">
      <formula>AND(ISBLANK(C202), NOT(ISBLANK(A202)))</formula>
    </cfRule>
  </conditionalFormatting>
  <conditionalFormatting sqref="E203">
    <cfRule type="expression" dxfId="234" priority="179">
      <formula>AND(ISBLANK(C203), NOT(ISBLANK(A203)))</formula>
    </cfRule>
  </conditionalFormatting>
  <conditionalFormatting sqref="E204">
    <cfRule type="expression" dxfId="233" priority="183">
      <formula>AND(ISBLANK(C204), NOT(ISBLANK(A204)))</formula>
    </cfRule>
  </conditionalFormatting>
  <conditionalFormatting sqref="E205">
    <cfRule type="expression" dxfId="232" priority="187">
      <formula>AND(ISBLANK(C205), NOT(ISBLANK(A205)))</formula>
    </cfRule>
  </conditionalFormatting>
  <conditionalFormatting sqref="E206">
    <cfRule type="expression" dxfId="231" priority="191">
      <formula>AND(ISBLANK(C206), NOT(ISBLANK(A206)))</formula>
    </cfRule>
  </conditionalFormatting>
  <conditionalFormatting sqref="E207">
    <cfRule type="expression" dxfId="230" priority="195">
      <formula>AND(ISBLANK(C207), NOT(ISBLANK(A207)))</formula>
    </cfRule>
  </conditionalFormatting>
  <conditionalFormatting sqref="E208">
    <cfRule type="expression" dxfId="229" priority="199">
      <formula>AND(ISBLANK(C208), NOT(ISBLANK(A208)))</formula>
    </cfRule>
  </conditionalFormatting>
  <conditionalFormatting sqref="E209">
    <cfRule type="expression" dxfId="228" priority="203">
      <formula>AND(ISBLANK(C209), NOT(ISBLANK(A209)))</formula>
    </cfRule>
  </conditionalFormatting>
  <conditionalFormatting sqref="E210">
    <cfRule type="expression" dxfId="227" priority="207">
      <formula>AND(ISBLANK(C210), NOT(ISBLANK(A210)))</formula>
    </cfRule>
  </conditionalFormatting>
  <conditionalFormatting sqref="E211">
    <cfRule type="expression" dxfId="226" priority="211">
      <formula>AND(ISBLANK(C211), NOT(ISBLANK(A211)))</formula>
    </cfRule>
  </conditionalFormatting>
  <conditionalFormatting sqref="E212">
    <cfRule type="expression" dxfId="225" priority="215">
      <formula>AND(ISBLANK(C212), NOT(ISBLANK(A212)))</formula>
    </cfRule>
  </conditionalFormatting>
  <conditionalFormatting sqref="E213">
    <cfRule type="expression" dxfId="224" priority="219">
      <formula>AND(ISBLANK(C213), NOT(ISBLANK(A213)))</formula>
    </cfRule>
  </conditionalFormatting>
  <conditionalFormatting sqref="E214">
    <cfRule type="expression" dxfId="223" priority="223">
      <formula>AND(ISBLANK(C214), NOT(ISBLANK(A214)))</formula>
    </cfRule>
  </conditionalFormatting>
  <conditionalFormatting sqref="E215">
    <cfRule type="expression" dxfId="222" priority="227">
      <formula>AND(ISBLANK(C215), NOT(ISBLANK(A215)))</formula>
    </cfRule>
  </conditionalFormatting>
  <conditionalFormatting sqref="E216">
    <cfRule type="expression" dxfId="221" priority="231">
      <formula>AND(ISBLANK(C216), NOT(ISBLANK(A216)))</formula>
    </cfRule>
  </conditionalFormatting>
  <conditionalFormatting sqref="E217">
    <cfRule type="expression" dxfId="220" priority="235">
      <formula>AND(ISBLANK(C217), NOT(ISBLANK(A217)))</formula>
    </cfRule>
  </conditionalFormatting>
  <conditionalFormatting sqref="E218">
    <cfRule type="expression" dxfId="219" priority="239">
      <formula>AND(ISBLANK(C218), NOT(ISBLANK(A218)))</formula>
    </cfRule>
  </conditionalFormatting>
  <conditionalFormatting sqref="E219">
    <cfRule type="expression" dxfId="218" priority="243">
      <formula>AND(ISBLANK(C219), NOT(ISBLANK(A219)))</formula>
    </cfRule>
  </conditionalFormatting>
  <conditionalFormatting sqref="E220">
    <cfRule type="expression" dxfId="217" priority="247">
      <formula>AND(ISBLANK(C220), NOT(ISBLANK(A220)))</formula>
    </cfRule>
  </conditionalFormatting>
  <conditionalFormatting sqref="E221">
    <cfRule type="expression" dxfId="216" priority="251">
      <formula>AND(ISBLANK(C221), NOT(ISBLANK(A221)))</formula>
    </cfRule>
  </conditionalFormatting>
  <conditionalFormatting sqref="E222">
    <cfRule type="expression" dxfId="215" priority="255">
      <formula>AND(ISBLANK(C222), NOT(ISBLANK(A222)))</formula>
    </cfRule>
  </conditionalFormatting>
  <conditionalFormatting sqref="E223">
    <cfRule type="expression" dxfId="214" priority="259">
      <formula>AND(ISBLANK(C223), NOT(ISBLANK(A223)))</formula>
    </cfRule>
  </conditionalFormatting>
  <conditionalFormatting sqref="E224">
    <cfRule type="expression" dxfId="213" priority="263">
      <formula>AND(ISBLANK(C224), NOT(ISBLANK(A224)))</formula>
    </cfRule>
  </conditionalFormatting>
  <conditionalFormatting sqref="E225">
    <cfRule type="expression" dxfId="212" priority="267">
      <formula>AND(ISBLANK(C225), NOT(ISBLANK(A225)))</formula>
    </cfRule>
  </conditionalFormatting>
  <conditionalFormatting sqref="E226">
    <cfRule type="expression" dxfId="211" priority="271">
      <formula>AND(ISBLANK(C226), NOT(ISBLANK(A226)))</formula>
    </cfRule>
  </conditionalFormatting>
  <conditionalFormatting sqref="E227">
    <cfRule type="expression" dxfId="210" priority="275">
      <formula>AND(ISBLANK(C227), NOT(ISBLANK(A227)))</formula>
    </cfRule>
  </conditionalFormatting>
  <conditionalFormatting sqref="E228">
    <cfRule type="expression" dxfId="209" priority="279">
      <formula>AND(ISBLANK(C228), NOT(ISBLANK(A228)))</formula>
    </cfRule>
  </conditionalFormatting>
  <conditionalFormatting sqref="E229">
    <cfRule type="expression" dxfId="208" priority="283">
      <formula>AND(ISBLANK(C229), NOT(ISBLANK(A229)))</formula>
    </cfRule>
  </conditionalFormatting>
  <conditionalFormatting sqref="E230">
    <cfRule type="expression" dxfId="207" priority="287">
      <formula>AND(ISBLANK(C230), NOT(ISBLANK(A230)))</formula>
    </cfRule>
  </conditionalFormatting>
  <conditionalFormatting sqref="E231">
    <cfRule type="expression" dxfId="206" priority="291">
      <formula>AND(ISBLANK(C231), NOT(ISBLANK(A231)))</formula>
    </cfRule>
  </conditionalFormatting>
  <conditionalFormatting sqref="E232">
    <cfRule type="expression" dxfId="205" priority="295">
      <formula>AND(ISBLANK(C232), NOT(ISBLANK(A232)))</formula>
    </cfRule>
  </conditionalFormatting>
  <conditionalFormatting sqref="E233">
    <cfRule type="expression" dxfId="204" priority="299">
      <formula>AND(ISBLANK(C233), NOT(ISBLANK(A233)))</formula>
    </cfRule>
  </conditionalFormatting>
  <conditionalFormatting sqref="E3">
    <cfRule type="cellIs" dxfId="203" priority="1" operator="equal">
      <formula>0</formula>
    </cfRule>
  </conditionalFormatting>
  <conditionalFormatting sqref="E36">
    <cfRule type="cellIs" dxfId="202" priority="3" operator="equal">
      <formula>0</formula>
    </cfRule>
  </conditionalFormatting>
  <conditionalFormatting sqref="E38">
    <cfRule type="cellIs" dxfId="201" priority="4" operator="equal">
      <formula>0</formula>
    </cfRule>
  </conditionalFormatting>
  <conditionalFormatting sqref="E39">
    <cfRule type="cellIs" dxfId="200" priority="5" operator="equal">
      <formula>0</formula>
    </cfRule>
  </conditionalFormatting>
  <conditionalFormatting sqref="E42">
    <cfRule type="cellIs" dxfId="199" priority="6" operator="equal">
      <formula>0</formula>
    </cfRule>
  </conditionalFormatting>
  <conditionalFormatting sqref="E46">
    <cfRule type="cellIs" dxfId="198" priority="7" operator="equal">
      <formula>0</formula>
    </cfRule>
  </conditionalFormatting>
  <conditionalFormatting sqref="E48">
    <cfRule type="cellIs" dxfId="197" priority="8" operator="equal">
      <formula>0</formula>
    </cfRule>
  </conditionalFormatting>
  <conditionalFormatting sqref="E5">
    <cfRule type="cellIs" dxfId="196" priority="2" operator="equal">
      <formula>0</formula>
    </cfRule>
  </conditionalFormatting>
  <conditionalFormatting sqref="E50">
    <cfRule type="cellIs" dxfId="195" priority="9" operator="equal">
      <formula>0</formula>
    </cfRule>
  </conditionalFormatting>
  <conditionalFormatting sqref="E52">
    <cfRule type="cellIs" dxfId="194" priority="10" operator="equal">
      <formula>0</formula>
    </cfRule>
  </conditionalFormatting>
  <conditionalFormatting sqref="E53">
    <cfRule type="cellIs" dxfId="193" priority="11" operator="equal">
      <formula>0</formula>
    </cfRule>
  </conditionalFormatting>
  <conditionalFormatting sqref="E55">
    <cfRule type="cellIs" dxfId="192" priority="12" operator="equal">
      <formula>0</formula>
    </cfRule>
  </conditionalFormatting>
  <conditionalFormatting sqref="E59">
    <cfRule type="cellIs" dxfId="191" priority="13" operator="equal">
      <formula>0</formula>
    </cfRule>
  </conditionalFormatting>
  <conditionalFormatting sqref="E61">
    <cfRule type="cellIs" dxfId="190" priority="14" operator="equal">
      <formula>0</formula>
    </cfRule>
  </conditionalFormatting>
  <conditionalFormatting sqref="E63">
    <cfRule type="cellIs" dxfId="189" priority="15" operator="equal">
      <formula>0</formula>
    </cfRule>
  </conditionalFormatting>
  <conditionalFormatting sqref="E66">
    <cfRule type="cellIs" dxfId="188" priority="16" operator="equal">
      <formula>0</formula>
    </cfRule>
  </conditionalFormatting>
  <conditionalFormatting sqref="E69">
    <cfRule type="cellIs" dxfId="187" priority="17" operator="equal">
      <formula>0</formula>
    </cfRule>
  </conditionalFormatting>
  <conditionalFormatting sqref="E76">
    <cfRule type="cellIs" dxfId="186" priority="18" operator="equal">
      <formula>0</formula>
    </cfRule>
  </conditionalFormatting>
  <conditionalFormatting sqref="F172">
    <cfRule type="expression" dxfId="185" priority="56">
      <formula>AND(ISBLANK(C172), NOT(ISBLANK(A172)))</formula>
    </cfRule>
  </conditionalFormatting>
  <conditionalFormatting sqref="F173">
    <cfRule type="expression" dxfId="184" priority="60">
      <formula>AND(ISBLANK(C173), NOT(ISBLANK(A173)))</formula>
    </cfRule>
  </conditionalFormatting>
  <conditionalFormatting sqref="F174">
    <cfRule type="expression" dxfId="183" priority="64">
      <formula>AND(ISBLANK(C174), NOT(ISBLANK(A174)))</formula>
    </cfRule>
  </conditionalFormatting>
  <conditionalFormatting sqref="F175">
    <cfRule type="expression" dxfId="182" priority="68">
      <formula>AND(ISBLANK(C175), NOT(ISBLANK(A175)))</formula>
    </cfRule>
  </conditionalFormatting>
  <conditionalFormatting sqref="F176">
    <cfRule type="expression" dxfId="181" priority="72">
      <formula>AND(ISBLANK(C176), NOT(ISBLANK(A176)))</formula>
    </cfRule>
  </conditionalFormatting>
  <conditionalFormatting sqref="F177">
    <cfRule type="expression" dxfId="180" priority="76">
      <formula>AND(ISBLANK(C177), NOT(ISBLANK(A177)))</formula>
    </cfRule>
  </conditionalFormatting>
  <conditionalFormatting sqref="F178">
    <cfRule type="expression" dxfId="179" priority="80">
      <formula>AND(ISBLANK(C178), NOT(ISBLANK(A178)))</formula>
    </cfRule>
  </conditionalFormatting>
  <conditionalFormatting sqref="F179">
    <cfRule type="expression" dxfId="178" priority="84">
      <formula>AND(ISBLANK(C179), NOT(ISBLANK(A179)))</formula>
    </cfRule>
  </conditionalFormatting>
  <conditionalFormatting sqref="F180">
    <cfRule type="expression" dxfId="177" priority="88">
      <formula>AND(ISBLANK(C180), NOT(ISBLANK(A180)))</formula>
    </cfRule>
  </conditionalFormatting>
  <conditionalFormatting sqref="F181">
    <cfRule type="expression" dxfId="176" priority="92">
      <formula>AND(ISBLANK(C181), NOT(ISBLANK(A181)))</formula>
    </cfRule>
  </conditionalFormatting>
  <conditionalFormatting sqref="F182">
    <cfRule type="expression" dxfId="175" priority="96">
      <formula>AND(ISBLANK(C182), NOT(ISBLANK(A182)))</formula>
    </cfRule>
  </conditionalFormatting>
  <conditionalFormatting sqref="F183">
    <cfRule type="expression" dxfId="174" priority="100">
      <formula>AND(ISBLANK(C183), NOT(ISBLANK(A183)))</formula>
    </cfRule>
  </conditionalFormatting>
  <conditionalFormatting sqref="F184">
    <cfRule type="expression" dxfId="173" priority="104">
      <formula>AND(ISBLANK(C184), NOT(ISBLANK(A184)))</formula>
    </cfRule>
  </conditionalFormatting>
  <conditionalFormatting sqref="F185">
    <cfRule type="expression" dxfId="172" priority="108">
      <formula>AND(ISBLANK(C185), NOT(ISBLANK(A185)))</formula>
    </cfRule>
  </conditionalFormatting>
  <conditionalFormatting sqref="F186">
    <cfRule type="expression" dxfId="171" priority="112">
      <formula>AND(ISBLANK(C186), NOT(ISBLANK(A186)))</formula>
    </cfRule>
  </conditionalFormatting>
  <conditionalFormatting sqref="F187">
    <cfRule type="expression" dxfId="170" priority="116">
      <formula>AND(ISBLANK(C187), NOT(ISBLANK(A187)))</formula>
    </cfRule>
  </conditionalFormatting>
  <conditionalFormatting sqref="F188">
    <cfRule type="expression" dxfId="169" priority="120">
      <formula>AND(ISBLANK(C188), NOT(ISBLANK(A188)))</formula>
    </cfRule>
  </conditionalFormatting>
  <conditionalFormatting sqref="F189">
    <cfRule type="expression" dxfId="168" priority="124">
      <formula>AND(ISBLANK(C189), NOT(ISBLANK(A189)))</formula>
    </cfRule>
  </conditionalFormatting>
  <conditionalFormatting sqref="F190">
    <cfRule type="expression" dxfId="167" priority="128">
      <formula>AND(ISBLANK(C190), NOT(ISBLANK(A190)))</formula>
    </cfRule>
  </conditionalFormatting>
  <conditionalFormatting sqref="F191">
    <cfRule type="expression" dxfId="166" priority="132">
      <formula>AND(ISBLANK(C191), NOT(ISBLANK(A191)))</formula>
    </cfRule>
  </conditionalFormatting>
  <conditionalFormatting sqref="F192">
    <cfRule type="expression" dxfId="165" priority="136">
      <formula>AND(ISBLANK(C192), NOT(ISBLANK(A192)))</formula>
    </cfRule>
  </conditionalFormatting>
  <conditionalFormatting sqref="F193">
    <cfRule type="expression" dxfId="164" priority="140">
      <formula>AND(ISBLANK(C193), NOT(ISBLANK(A193)))</formula>
    </cfRule>
  </conditionalFormatting>
  <conditionalFormatting sqref="F194">
    <cfRule type="expression" dxfId="163" priority="144">
      <formula>AND(ISBLANK(C194), NOT(ISBLANK(A194)))</formula>
    </cfRule>
  </conditionalFormatting>
  <conditionalFormatting sqref="F195">
    <cfRule type="expression" dxfId="162" priority="148">
      <formula>AND(ISBLANK(C195), NOT(ISBLANK(A195)))</formula>
    </cfRule>
  </conditionalFormatting>
  <conditionalFormatting sqref="F196">
    <cfRule type="expression" dxfId="161" priority="152">
      <formula>AND(ISBLANK(C196), NOT(ISBLANK(A196)))</formula>
    </cfRule>
  </conditionalFormatting>
  <conditionalFormatting sqref="F197">
    <cfRule type="expression" dxfId="160" priority="156">
      <formula>AND(ISBLANK(C197), NOT(ISBLANK(A197)))</formula>
    </cfRule>
  </conditionalFormatting>
  <conditionalFormatting sqref="F198">
    <cfRule type="expression" dxfId="159" priority="160">
      <formula>AND(ISBLANK(C198), NOT(ISBLANK(A198)))</formula>
    </cfRule>
  </conditionalFormatting>
  <conditionalFormatting sqref="F199">
    <cfRule type="expression" dxfId="158" priority="164">
      <formula>AND(ISBLANK(C199), NOT(ISBLANK(A199)))</formula>
    </cfRule>
  </conditionalFormatting>
  <conditionalFormatting sqref="F200">
    <cfRule type="expression" dxfId="157" priority="168">
      <formula>AND(ISBLANK(C200), NOT(ISBLANK(A200)))</formula>
    </cfRule>
  </conditionalFormatting>
  <conditionalFormatting sqref="F201">
    <cfRule type="expression" dxfId="156" priority="172">
      <formula>AND(ISBLANK(C201), NOT(ISBLANK(A201)))</formula>
    </cfRule>
  </conditionalFormatting>
  <conditionalFormatting sqref="F202">
    <cfRule type="expression" dxfId="155" priority="176">
      <formula>AND(ISBLANK(C202), NOT(ISBLANK(A202)))</formula>
    </cfRule>
  </conditionalFormatting>
  <conditionalFormatting sqref="F203">
    <cfRule type="expression" dxfId="154" priority="180">
      <formula>AND(ISBLANK(C203), NOT(ISBLANK(A203)))</formula>
    </cfRule>
  </conditionalFormatting>
  <conditionalFormatting sqref="F204">
    <cfRule type="expression" dxfId="153" priority="184">
      <formula>AND(ISBLANK(C204), NOT(ISBLANK(A204)))</formula>
    </cfRule>
  </conditionalFormatting>
  <conditionalFormatting sqref="F205">
    <cfRule type="expression" dxfId="152" priority="188">
      <formula>AND(ISBLANK(C205), NOT(ISBLANK(A205)))</formula>
    </cfRule>
  </conditionalFormatting>
  <conditionalFormatting sqref="F206">
    <cfRule type="expression" dxfId="151" priority="192">
      <formula>AND(ISBLANK(C206), NOT(ISBLANK(A206)))</formula>
    </cfRule>
  </conditionalFormatting>
  <conditionalFormatting sqref="F207">
    <cfRule type="expression" dxfId="150" priority="196">
      <formula>AND(ISBLANK(C207), NOT(ISBLANK(A207)))</formula>
    </cfRule>
  </conditionalFormatting>
  <conditionalFormatting sqref="F208">
    <cfRule type="expression" dxfId="149" priority="200">
      <formula>AND(ISBLANK(C208), NOT(ISBLANK(A208)))</formula>
    </cfRule>
  </conditionalFormatting>
  <conditionalFormatting sqref="F209">
    <cfRule type="expression" dxfId="148" priority="204">
      <formula>AND(ISBLANK(C209), NOT(ISBLANK(A209)))</formula>
    </cfRule>
  </conditionalFormatting>
  <conditionalFormatting sqref="F210">
    <cfRule type="expression" dxfId="147" priority="208">
      <formula>AND(ISBLANK(C210), NOT(ISBLANK(A210)))</formula>
    </cfRule>
  </conditionalFormatting>
  <conditionalFormatting sqref="F211">
    <cfRule type="expression" dxfId="146" priority="212">
      <formula>AND(ISBLANK(C211), NOT(ISBLANK(A211)))</formula>
    </cfRule>
  </conditionalFormatting>
  <conditionalFormatting sqref="F212">
    <cfRule type="expression" dxfId="145" priority="216">
      <formula>AND(ISBLANK(C212), NOT(ISBLANK(A212)))</formula>
    </cfRule>
  </conditionalFormatting>
  <conditionalFormatting sqref="F213">
    <cfRule type="expression" dxfId="144" priority="220">
      <formula>AND(ISBLANK(C213), NOT(ISBLANK(A213)))</formula>
    </cfRule>
  </conditionalFormatting>
  <conditionalFormatting sqref="F214">
    <cfRule type="expression" dxfId="143" priority="224">
      <formula>AND(ISBLANK(C214), NOT(ISBLANK(A214)))</formula>
    </cfRule>
  </conditionalFormatting>
  <conditionalFormatting sqref="F215">
    <cfRule type="expression" dxfId="142" priority="228">
      <formula>AND(ISBLANK(C215), NOT(ISBLANK(A215)))</formula>
    </cfRule>
  </conditionalFormatting>
  <conditionalFormatting sqref="F216">
    <cfRule type="expression" dxfId="141" priority="232">
      <formula>AND(ISBLANK(C216), NOT(ISBLANK(A216)))</formula>
    </cfRule>
  </conditionalFormatting>
  <conditionalFormatting sqref="F217">
    <cfRule type="expression" dxfId="140" priority="236">
      <formula>AND(ISBLANK(C217), NOT(ISBLANK(A217)))</formula>
    </cfRule>
  </conditionalFormatting>
  <conditionalFormatting sqref="F218">
    <cfRule type="expression" dxfId="139" priority="240">
      <formula>AND(ISBLANK(C218), NOT(ISBLANK(A218)))</formula>
    </cfRule>
  </conditionalFormatting>
  <conditionalFormatting sqref="F219">
    <cfRule type="expression" dxfId="138" priority="244">
      <formula>AND(ISBLANK(C219), NOT(ISBLANK(A219)))</formula>
    </cfRule>
  </conditionalFormatting>
  <conditionalFormatting sqref="F220">
    <cfRule type="expression" dxfId="137" priority="248">
      <formula>AND(ISBLANK(C220), NOT(ISBLANK(A220)))</formula>
    </cfRule>
  </conditionalFormatting>
  <conditionalFormatting sqref="F221">
    <cfRule type="expression" dxfId="136" priority="252">
      <formula>AND(ISBLANK(C221), NOT(ISBLANK(A221)))</formula>
    </cfRule>
  </conditionalFormatting>
  <conditionalFormatting sqref="F222">
    <cfRule type="expression" dxfId="135" priority="256">
      <formula>AND(ISBLANK(C222), NOT(ISBLANK(A222)))</formula>
    </cfRule>
  </conditionalFormatting>
  <conditionalFormatting sqref="F223">
    <cfRule type="expression" dxfId="134" priority="260">
      <formula>AND(ISBLANK(C223), NOT(ISBLANK(A223)))</formula>
    </cfRule>
  </conditionalFormatting>
  <conditionalFormatting sqref="F224">
    <cfRule type="expression" dxfId="133" priority="264">
      <formula>AND(ISBLANK(C224), NOT(ISBLANK(A224)))</formula>
    </cfRule>
  </conditionalFormatting>
  <conditionalFormatting sqref="F225">
    <cfRule type="expression" dxfId="132" priority="268">
      <formula>AND(ISBLANK(C225), NOT(ISBLANK(A225)))</formula>
    </cfRule>
  </conditionalFormatting>
  <conditionalFormatting sqref="F226">
    <cfRule type="expression" dxfId="131" priority="272">
      <formula>AND(ISBLANK(C226), NOT(ISBLANK(A226)))</formula>
    </cfRule>
  </conditionalFormatting>
  <conditionalFormatting sqref="F227">
    <cfRule type="expression" dxfId="130" priority="276">
      <formula>AND(ISBLANK(C227), NOT(ISBLANK(A227)))</formula>
    </cfRule>
  </conditionalFormatting>
  <conditionalFormatting sqref="F228">
    <cfRule type="expression" dxfId="129" priority="280">
      <formula>AND(ISBLANK(C228), NOT(ISBLANK(A228)))</formula>
    </cfRule>
  </conditionalFormatting>
  <conditionalFormatting sqref="F229">
    <cfRule type="expression" dxfId="128" priority="284">
      <formula>AND(ISBLANK(C229), NOT(ISBLANK(A229)))</formula>
    </cfRule>
  </conditionalFormatting>
  <conditionalFormatting sqref="F230">
    <cfRule type="expression" dxfId="127" priority="288">
      <formula>AND(ISBLANK(C230), NOT(ISBLANK(A230)))</formula>
    </cfRule>
  </conditionalFormatting>
  <conditionalFormatting sqref="F231">
    <cfRule type="expression" dxfId="126" priority="292">
      <formula>AND(ISBLANK(C231), NOT(ISBLANK(A231)))</formula>
    </cfRule>
  </conditionalFormatting>
  <conditionalFormatting sqref="F232">
    <cfRule type="expression" dxfId="125" priority="296">
      <formula>AND(ISBLANK(C232), NOT(ISBLANK(A232)))</formula>
    </cfRule>
  </conditionalFormatting>
  <conditionalFormatting sqref="F233">
    <cfRule type="expression" dxfId="124" priority="300">
      <formula>AND(ISBLANK(C233), NOT(ISBLANK(A233)))</formula>
    </cfRule>
  </conditionalFormatting>
  <conditionalFormatting sqref="G172">
    <cfRule type="expression" dxfId="123" priority="57">
      <formula>AND(ISBLANK(C172), NOT(ISBLANK(A172)))</formula>
    </cfRule>
  </conditionalFormatting>
  <conditionalFormatting sqref="G173">
    <cfRule type="expression" dxfId="122" priority="61">
      <formula>AND(ISBLANK(C173), NOT(ISBLANK(A173)))</formula>
    </cfRule>
  </conditionalFormatting>
  <conditionalFormatting sqref="G174">
    <cfRule type="expression" dxfId="121" priority="65">
      <formula>AND(ISBLANK(C174), NOT(ISBLANK(A174)))</formula>
    </cfRule>
  </conditionalFormatting>
  <conditionalFormatting sqref="G175">
    <cfRule type="expression" dxfId="120" priority="69">
      <formula>AND(ISBLANK(C175), NOT(ISBLANK(A175)))</formula>
    </cfRule>
  </conditionalFormatting>
  <conditionalFormatting sqref="G176">
    <cfRule type="expression" dxfId="119" priority="73">
      <formula>AND(ISBLANK(C176), NOT(ISBLANK(A176)))</formula>
    </cfRule>
  </conditionalFormatting>
  <conditionalFormatting sqref="G177">
    <cfRule type="expression" dxfId="118" priority="77">
      <formula>AND(ISBLANK(C177), NOT(ISBLANK(A177)))</formula>
    </cfRule>
  </conditionalFormatting>
  <conditionalFormatting sqref="G178">
    <cfRule type="expression" dxfId="117" priority="81">
      <formula>AND(ISBLANK(C178), NOT(ISBLANK(A178)))</formula>
    </cfRule>
  </conditionalFormatting>
  <conditionalFormatting sqref="G179">
    <cfRule type="expression" dxfId="116" priority="85">
      <formula>AND(ISBLANK(C179), NOT(ISBLANK(A179)))</formula>
    </cfRule>
  </conditionalFormatting>
  <conditionalFormatting sqref="G180">
    <cfRule type="expression" dxfId="115" priority="89">
      <formula>AND(ISBLANK(C180), NOT(ISBLANK(A180)))</formula>
    </cfRule>
  </conditionalFormatting>
  <conditionalFormatting sqref="G181">
    <cfRule type="expression" dxfId="114" priority="93">
      <formula>AND(ISBLANK(C181), NOT(ISBLANK(A181)))</formula>
    </cfRule>
  </conditionalFormatting>
  <conditionalFormatting sqref="G182">
    <cfRule type="expression" dxfId="113" priority="97">
      <formula>AND(ISBLANK(C182), NOT(ISBLANK(A182)))</formula>
    </cfRule>
  </conditionalFormatting>
  <conditionalFormatting sqref="G183">
    <cfRule type="expression" dxfId="112" priority="101">
      <formula>AND(ISBLANK(C183), NOT(ISBLANK(A183)))</formula>
    </cfRule>
  </conditionalFormatting>
  <conditionalFormatting sqref="G184">
    <cfRule type="expression" dxfId="111" priority="105">
      <formula>AND(ISBLANK(C184), NOT(ISBLANK(A184)))</formula>
    </cfRule>
  </conditionalFormatting>
  <conditionalFormatting sqref="G185">
    <cfRule type="expression" dxfId="110" priority="109">
      <formula>AND(ISBLANK(C185), NOT(ISBLANK(A185)))</formula>
    </cfRule>
  </conditionalFormatting>
  <conditionalFormatting sqref="G186">
    <cfRule type="expression" dxfId="109" priority="113">
      <formula>AND(ISBLANK(C186), NOT(ISBLANK(A186)))</formula>
    </cfRule>
  </conditionalFormatting>
  <conditionalFormatting sqref="G187">
    <cfRule type="expression" dxfId="108" priority="117">
      <formula>AND(ISBLANK(C187), NOT(ISBLANK(A187)))</formula>
    </cfRule>
  </conditionalFormatting>
  <conditionalFormatting sqref="G188">
    <cfRule type="expression" dxfId="107" priority="121">
      <formula>AND(ISBLANK(C188), NOT(ISBLANK(A188)))</formula>
    </cfRule>
  </conditionalFormatting>
  <conditionalFormatting sqref="G189">
    <cfRule type="expression" dxfId="106" priority="125">
      <formula>AND(ISBLANK(C189), NOT(ISBLANK(A189)))</formula>
    </cfRule>
  </conditionalFormatting>
  <conditionalFormatting sqref="G190">
    <cfRule type="expression" dxfId="105" priority="129">
      <formula>AND(ISBLANK(C190), NOT(ISBLANK(A190)))</formula>
    </cfRule>
  </conditionalFormatting>
  <conditionalFormatting sqref="G191">
    <cfRule type="expression" dxfId="104" priority="133">
      <formula>AND(ISBLANK(C191), NOT(ISBLANK(A191)))</formula>
    </cfRule>
  </conditionalFormatting>
  <conditionalFormatting sqref="G192">
    <cfRule type="expression" dxfId="103" priority="137">
      <formula>AND(ISBLANK(C192), NOT(ISBLANK(A192)))</formula>
    </cfRule>
  </conditionalFormatting>
  <conditionalFormatting sqref="G193">
    <cfRule type="expression" dxfId="102" priority="141">
      <formula>AND(ISBLANK(C193), NOT(ISBLANK(A193)))</formula>
    </cfRule>
  </conditionalFormatting>
  <conditionalFormatting sqref="G194">
    <cfRule type="expression" dxfId="101" priority="145">
      <formula>AND(ISBLANK(C194), NOT(ISBLANK(A194)))</formula>
    </cfRule>
  </conditionalFormatting>
  <conditionalFormatting sqref="G195">
    <cfRule type="expression" dxfId="100" priority="149">
      <formula>AND(ISBLANK(C195), NOT(ISBLANK(A195)))</formula>
    </cfRule>
  </conditionalFormatting>
  <conditionalFormatting sqref="G196">
    <cfRule type="expression" dxfId="99" priority="153">
      <formula>AND(ISBLANK(C196), NOT(ISBLANK(A196)))</formula>
    </cfRule>
  </conditionalFormatting>
  <conditionalFormatting sqref="G197">
    <cfRule type="expression" dxfId="98" priority="157">
      <formula>AND(ISBLANK(C197), NOT(ISBLANK(A197)))</formula>
    </cfRule>
  </conditionalFormatting>
  <conditionalFormatting sqref="G198">
    <cfRule type="expression" dxfId="97" priority="161">
      <formula>AND(ISBLANK(C198), NOT(ISBLANK(A198)))</formula>
    </cfRule>
  </conditionalFormatting>
  <conditionalFormatting sqref="G199">
    <cfRule type="expression" dxfId="96" priority="165">
      <formula>AND(ISBLANK(C199), NOT(ISBLANK(A199)))</formula>
    </cfRule>
  </conditionalFormatting>
  <conditionalFormatting sqref="G200">
    <cfRule type="expression" dxfId="95" priority="169">
      <formula>AND(ISBLANK(C200), NOT(ISBLANK(A200)))</formula>
    </cfRule>
  </conditionalFormatting>
  <conditionalFormatting sqref="G201">
    <cfRule type="expression" dxfId="94" priority="173">
      <formula>AND(ISBLANK(C201), NOT(ISBLANK(A201)))</formula>
    </cfRule>
  </conditionalFormatting>
  <conditionalFormatting sqref="G202">
    <cfRule type="expression" dxfId="93" priority="177">
      <formula>AND(ISBLANK(C202), NOT(ISBLANK(A202)))</formula>
    </cfRule>
  </conditionalFormatting>
  <conditionalFormatting sqref="G203">
    <cfRule type="expression" dxfId="92" priority="181">
      <formula>AND(ISBLANK(C203), NOT(ISBLANK(A203)))</formula>
    </cfRule>
  </conditionalFormatting>
  <conditionalFormatting sqref="G204">
    <cfRule type="expression" dxfId="91" priority="185">
      <formula>AND(ISBLANK(C204), NOT(ISBLANK(A204)))</formula>
    </cfRule>
  </conditionalFormatting>
  <conditionalFormatting sqref="G205">
    <cfRule type="expression" dxfId="90" priority="189">
      <formula>AND(ISBLANK(C205), NOT(ISBLANK(A205)))</formula>
    </cfRule>
  </conditionalFormatting>
  <conditionalFormatting sqref="G206">
    <cfRule type="expression" dxfId="89" priority="193">
      <formula>AND(ISBLANK(C206), NOT(ISBLANK(A206)))</formula>
    </cfRule>
  </conditionalFormatting>
  <conditionalFormatting sqref="G207">
    <cfRule type="expression" dxfId="88" priority="197">
      <formula>AND(ISBLANK(C207), NOT(ISBLANK(A207)))</formula>
    </cfRule>
  </conditionalFormatting>
  <conditionalFormatting sqref="G208">
    <cfRule type="expression" dxfId="87" priority="201">
      <formula>AND(ISBLANK(C208), NOT(ISBLANK(A208)))</formula>
    </cfRule>
  </conditionalFormatting>
  <conditionalFormatting sqref="G209">
    <cfRule type="expression" dxfId="86" priority="205">
      <formula>AND(ISBLANK(C209), NOT(ISBLANK(A209)))</formula>
    </cfRule>
  </conditionalFormatting>
  <conditionalFormatting sqref="G210">
    <cfRule type="expression" dxfId="85" priority="209">
      <formula>AND(ISBLANK(C210), NOT(ISBLANK(A210)))</formula>
    </cfRule>
  </conditionalFormatting>
  <conditionalFormatting sqref="G211">
    <cfRule type="expression" dxfId="84" priority="213">
      <formula>AND(ISBLANK(C211), NOT(ISBLANK(A211)))</formula>
    </cfRule>
  </conditionalFormatting>
  <conditionalFormatting sqref="G212">
    <cfRule type="expression" dxfId="83" priority="217">
      <formula>AND(ISBLANK(C212), NOT(ISBLANK(A212)))</formula>
    </cfRule>
  </conditionalFormatting>
  <conditionalFormatting sqref="G213">
    <cfRule type="expression" dxfId="82" priority="221">
      <formula>AND(ISBLANK(C213), NOT(ISBLANK(A213)))</formula>
    </cfRule>
  </conditionalFormatting>
  <conditionalFormatting sqref="G214">
    <cfRule type="expression" dxfId="81" priority="225">
      <formula>AND(ISBLANK(C214), NOT(ISBLANK(A214)))</formula>
    </cfRule>
  </conditionalFormatting>
  <conditionalFormatting sqref="G215">
    <cfRule type="expression" dxfId="80" priority="229">
      <formula>AND(ISBLANK(C215), NOT(ISBLANK(A215)))</formula>
    </cfRule>
  </conditionalFormatting>
  <conditionalFormatting sqref="G216">
    <cfRule type="expression" dxfId="79" priority="233">
      <formula>AND(ISBLANK(C216), NOT(ISBLANK(A216)))</formula>
    </cfRule>
  </conditionalFormatting>
  <conditionalFormatting sqref="G217">
    <cfRule type="expression" dxfId="78" priority="237">
      <formula>AND(ISBLANK(C217), NOT(ISBLANK(A217)))</formula>
    </cfRule>
  </conditionalFormatting>
  <conditionalFormatting sqref="G218">
    <cfRule type="expression" dxfId="77" priority="241">
      <formula>AND(ISBLANK(C218), NOT(ISBLANK(A218)))</formula>
    </cfRule>
  </conditionalFormatting>
  <conditionalFormatting sqref="G219">
    <cfRule type="expression" dxfId="76" priority="245">
      <formula>AND(ISBLANK(C219), NOT(ISBLANK(A219)))</formula>
    </cfRule>
  </conditionalFormatting>
  <conditionalFormatting sqref="G220">
    <cfRule type="expression" dxfId="75" priority="249">
      <formula>AND(ISBLANK(C220), NOT(ISBLANK(A220)))</formula>
    </cfRule>
  </conditionalFormatting>
  <conditionalFormatting sqref="G221">
    <cfRule type="expression" dxfId="74" priority="253">
      <formula>AND(ISBLANK(C221), NOT(ISBLANK(A221)))</formula>
    </cfRule>
  </conditionalFormatting>
  <conditionalFormatting sqref="G222">
    <cfRule type="expression" dxfId="73" priority="257">
      <formula>AND(ISBLANK(C222), NOT(ISBLANK(A222)))</formula>
    </cfRule>
  </conditionalFormatting>
  <conditionalFormatting sqref="G223">
    <cfRule type="expression" dxfId="72" priority="261">
      <formula>AND(ISBLANK(C223), NOT(ISBLANK(A223)))</formula>
    </cfRule>
  </conditionalFormatting>
  <conditionalFormatting sqref="G224">
    <cfRule type="expression" dxfId="71" priority="265">
      <formula>AND(ISBLANK(C224), NOT(ISBLANK(A224)))</formula>
    </cfRule>
  </conditionalFormatting>
  <conditionalFormatting sqref="G225">
    <cfRule type="expression" dxfId="70" priority="269">
      <formula>AND(ISBLANK(C225), NOT(ISBLANK(A225)))</formula>
    </cfRule>
  </conditionalFormatting>
  <conditionalFormatting sqref="G226">
    <cfRule type="expression" dxfId="69" priority="273">
      <formula>AND(ISBLANK(C226), NOT(ISBLANK(A226)))</formula>
    </cfRule>
  </conditionalFormatting>
  <conditionalFormatting sqref="G227">
    <cfRule type="expression" dxfId="68" priority="277">
      <formula>AND(ISBLANK(C227), NOT(ISBLANK(A227)))</formula>
    </cfRule>
  </conditionalFormatting>
  <conditionalFormatting sqref="G228">
    <cfRule type="expression" dxfId="67" priority="281">
      <formula>AND(ISBLANK(C228), NOT(ISBLANK(A228)))</formula>
    </cfRule>
  </conditionalFormatting>
  <conditionalFormatting sqref="G229">
    <cfRule type="expression" dxfId="66" priority="285">
      <formula>AND(ISBLANK(C229), NOT(ISBLANK(A229)))</formula>
    </cfRule>
  </conditionalFormatting>
  <conditionalFormatting sqref="G230">
    <cfRule type="expression" dxfId="65" priority="289">
      <formula>AND(ISBLANK(C230), NOT(ISBLANK(A230)))</formula>
    </cfRule>
  </conditionalFormatting>
  <conditionalFormatting sqref="G231">
    <cfRule type="expression" dxfId="64" priority="293">
      <formula>AND(ISBLANK(C231), NOT(ISBLANK(A231)))</formula>
    </cfRule>
  </conditionalFormatting>
  <conditionalFormatting sqref="G232">
    <cfRule type="expression" dxfId="63" priority="297">
      <formula>AND(ISBLANK(C232), NOT(ISBLANK(A232)))</formula>
    </cfRule>
  </conditionalFormatting>
  <conditionalFormatting sqref="G233">
    <cfRule type="expression" dxfId="62" priority="301">
      <formula>AND(ISBLANK(C233), NOT(ISBLANK(A233)))</formula>
    </cfRule>
  </conditionalFormatting>
  <conditionalFormatting sqref="H172">
    <cfRule type="expression" dxfId="61" priority="58">
      <formula>AND(ISBLANK(C172), NOT(ISBLANK(A172)))</formula>
    </cfRule>
  </conditionalFormatting>
  <conditionalFormatting sqref="H173">
    <cfRule type="expression" dxfId="60" priority="62">
      <formula>AND(ISBLANK(C173), NOT(ISBLANK(A173)))</formula>
    </cfRule>
  </conditionalFormatting>
  <conditionalFormatting sqref="H174">
    <cfRule type="expression" dxfId="59" priority="66">
      <formula>AND(ISBLANK(C174), NOT(ISBLANK(A174)))</formula>
    </cfRule>
  </conditionalFormatting>
  <conditionalFormatting sqref="H175">
    <cfRule type="expression" dxfId="58" priority="70">
      <formula>AND(ISBLANK(C175), NOT(ISBLANK(A175)))</formula>
    </cfRule>
  </conditionalFormatting>
  <conditionalFormatting sqref="H176">
    <cfRule type="expression" dxfId="57" priority="74">
      <formula>AND(ISBLANK(C176), NOT(ISBLANK(A176)))</formula>
    </cfRule>
  </conditionalFormatting>
  <conditionalFormatting sqref="H177">
    <cfRule type="expression" dxfId="56" priority="78">
      <formula>AND(ISBLANK(C177), NOT(ISBLANK(A177)))</formula>
    </cfRule>
  </conditionalFormatting>
  <conditionalFormatting sqref="H178">
    <cfRule type="expression" dxfId="55" priority="82">
      <formula>AND(ISBLANK(C178), NOT(ISBLANK(A178)))</formula>
    </cfRule>
  </conditionalFormatting>
  <conditionalFormatting sqref="H179">
    <cfRule type="expression" dxfId="54" priority="86">
      <formula>AND(ISBLANK(C179), NOT(ISBLANK(A179)))</formula>
    </cfRule>
  </conditionalFormatting>
  <conditionalFormatting sqref="H180">
    <cfRule type="expression" dxfId="53" priority="90">
      <formula>AND(ISBLANK(C180), NOT(ISBLANK(A180)))</formula>
    </cfRule>
  </conditionalFormatting>
  <conditionalFormatting sqref="H181">
    <cfRule type="expression" dxfId="52" priority="94">
      <formula>AND(ISBLANK(C181), NOT(ISBLANK(A181)))</formula>
    </cfRule>
  </conditionalFormatting>
  <conditionalFormatting sqref="H182">
    <cfRule type="expression" dxfId="51" priority="98">
      <formula>AND(ISBLANK(C182), NOT(ISBLANK(A182)))</formula>
    </cfRule>
  </conditionalFormatting>
  <conditionalFormatting sqref="H183">
    <cfRule type="expression" dxfId="50" priority="102">
      <formula>AND(ISBLANK(C183), NOT(ISBLANK(A183)))</formula>
    </cfRule>
  </conditionalFormatting>
  <conditionalFormatting sqref="H184">
    <cfRule type="expression" dxfId="49" priority="106">
      <formula>AND(ISBLANK(C184), NOT(ISBLANK(A184)))</formula>
    </cfRule>
  </conditionalFormatting>
  <conditionalFormatting sqref="H185">
    <cfRule type="expression" dxfId="48" priority="110">
      <formula>AND(ISBLANK(C185), NOT(ISBLANK(A185)))</formula>
    </cfRule>
  </conditionalFormatting>
  <conditionalFormatting sqref="H186">
    <cfRule type="expression" dxfId="47" priority="114">
      <formula>AND(ISBLANK(C186), NOT(ISBLANK(A186)))</formula>
    </cfRule>
  </conditionalFormatting>
  <conditionalFormatting sqref="H187">
    <cfRule type="expression" dxfId="46" priority="118">
      <formula>AND(ISBLANK(C187), NOT(ISBLANK(A187)))</formula>
    </cfRule>
  </conditionalFormatting>
  <conditionalFormatting sqref="H188">
    <cfRule type="expression" dxfId="45" priority="122">
      <formula>AND(ISBLANK(C188), NOT(ISBLANK(A188)))</formula>
    </cfRule>
  </conditionalFormatting>
  <conditionalFormatting sqref="H189">
    <cfRule type="expression" dxfId="44" priority="126">
      <formula>AND(ISBLANK(C189), NOT(ISBLANK(A189)))</formula>
    </cfRule>
  </conditionalFormatting>
  <conditionalFormatting sqref="H190">
    <cfRule type="expression" dxfId="43" priority="130">
      <formula>AND(ISBLANK(C190), NOT(ISBLANK(A190)))</formula>
    </cfRule>
  </conditionalFormatting>
  <conditionalFormatting sqref="H191">
    <cfRule type="expression" dxfId="42" priority="134">
      <formula>AND(ISBLANK(C191), NOT(ISBLANK(A191)))</formula>
    </cfRule>
  </conditionalFormatting>
  <conditionalFormatting sqref="H192">
    <cfRule type="expression" dxfId="41" priority="138">
      <formula>AND(ISBLANK(C192), NOT(ISBLANK(A192)))</formula>
    </cfRule>
  </conditionalFormatting>
  <conditionalFormatting sqref="H193">
    <cfRule type="expression" dxfId="40" priority="142">
      <formula>AND(ISBLANK(C193), NOT(ISBLANK(A193)))</formula>
    </cfRule>
  </conditionalFormatting>
  <conditionalFormatting sqref="H194">
    <cfRule type="expression" dxfId="39" priority="146">
      <formula>AND(ISBLANK(C194), NOT(ISBLANK(A194)))</formula>
    </cfRule>
  </conditionalFormatting>
  <conditionalFormatting sqref="H195">
    <cfRule type="expression" dxfId="38" priority="150">
      <formula>AND(ISBLANK(C195), NOT(ISBLANK(A195)))</formula>
    </cfRule>
  </conditionalFormatting>
  <conditionalFormatting sqref="H196">
    <cfRule type="expression" dxfId="37" priority="154">
      <formula>AND(ISBLANK(C196), NOT(ISBLANK(A196)))</formula>
    </cfRule>
  </conditionalFormatting>
  <conditionalFormatting sqref="H197">
    <cfRule type="expression" dxfId="36" priority="158">
      <formula>AND(ISBLANK(C197), NOT(ISBLANK(A197)))</formula>
    </cfRule>
  </conditionalFormatting>
  <conditionalFormatting sqref="H198">
    <cfRule type="expression" dxfId="35" priority="162">
      <formula>AND(ISBLANK(C198), NOT(ISBLANK(A198)))</formula>
    </cfRule>
  </conditionalFormatting>
  <conditionalFormatting sqref="H199">
    <cfRule type="expression" dxfId="34" priority="166">
      <formula>AND(ISBLANK(C199), NOT(ISBLANK(A199)))</formula>
    </cfRule>
  </conditionalFormatting>
  <conditionalFormatting sqref="H200">
    <cfRule type="expression" dxfId="33" priority="170">
      <formula>AND(ISBLANK(C200), NOT(ISBLANK(A200)))</formula>
    </cfRule>
  </conditionalFormatting>
  <conditionalFormatting sqref="H201">
    <cfRule type="expression" dxfId="32" priority="174">
      <formula>AND(ISBLANK(C201), NOT(ISBLANK(A201)))</formula>
    </cfRule>
  </conditionalFormatting>
  <conditionalFormatting sqref="H202">
    <cfRule type="expression" dxfId="31" priority="178">
      <formula>AND(ISBLANK(C202), NOT(ISBLANK(A202)))</formula>
    </cfRule>
  </conditionalFormatting>
  <conditionalFormatting sqref="H203">
    <cfRule type="expression" dxfId="30" priority="182">
      <formula>AND(ISBLANK(C203), NOT(ISBLANK(A203)))</formula>
    </cfRule>
  </conditionalFormatting>
  <conditionalFormatting sqref="H204">
    <cfRule type="expression" dxfId="29" priority="186">
      <formula>AND(ISBLANK(C204), NOT(ISBLANK(A204)))</formula>
    </cfRule>
  </conditionalFormatting>
  <conditionalFormatting sqref="H205">
    <cfRule type="expression" dxfId="28" priority="190">
      <formula>AND(ISBLANK(C205), NOT(ISBLANK(A205)))</formula>
    </cfRule>
  </conditionalFormatting>
  <conditionalFormatting sqref="H206">
    <cfRule type="expression" dxfId="27" priority="194">
      <formula>AND(ISBLANK(C206), NOT(ISBLANK(A206)))</formula>
    </cfRule>
  </conditionalFormatting>
  <conditionalFormatting sqref="H207">
    <cfRule type="expression" dxfId="26" priority="198">
      <formula>AND(ISBLANK(C207), NOT(ISBLANK(A207)))</formula>
    </cfRule>
  </conditionalFormatting>
  <conditionalFormatting sqref="H208">
    <cfRule type="expression" dxfId="25" priority="202">
      <formula>AND(ISBLANK(C208), NOT(ISBLANK(A208)))</formula>
    </cfRule>
  </conditionalFormatting>
  <conditionalFormatting sqref="H209">
    <cfRule type="expression" dxfId="24" priority="206">
      <formula>AND(ISBLANK(C209), NOT(ISBLANK(A209)))</formula>
    </cfRule>
  </conditionalFormatting>
  <conditionalFormatting sqref="H210">
    <cfRule type="expression" dxfId="23" priority="210">
      <formula>AND(ISBLANK(C210), NOT(ISBLANK(A210)))</formula>
    </cfRule>
  </conditionalFormatting>
  <conditionalFormatting sqref="H211">
    <cfRule type="expression" dxfId="22" priority="214">
      <formula>AND(ISBLANK(C211), NOT(ISBLANK(A211)))</formula>
    </cfRule>
  </conditionalFormatting>
  <conditionalFormatting sqref="H212">
    <cfRule type="expression" dxfId="21" priority="218">
      <formula>AND(ISBLANK(C212), NOT(ISBLANK(A212)))</formula>
    </cfRule>
  </conditionalFormatting>
  <conditionalFormatting sqref="H213">
    <cfRule type="expression" dxfId="20" priority="222">
      <formula>AND(ISBLANK(C213), NOT(ISBLANK(A213)))</formula>
    </cfRule>
  </conditionalFormatting>
  <conditionalFormatting sqref="H214">
    <cfRule type="expression" dxfId="19" priority="226">
      <formula>AND(ISBLANK(C214), NOT(ISBLANK(A214)))</formula>
    </cfRule>
  </conditionalFormatting>
  <conditionalFormatting sqref="H215">
    <cfRule type="expression" dxfId="18" priority="230">
      <formula>AND(ISBLANK(C215), NOT(ISBLANK(A215)))</formula>
    </cfRule>
  </conditionalFormatting>
  <conditionalFormatting sqref="H216">
    <cfRule type="expression" dxfId="17" priority="234">
      <formula>AND(ISBLANK(C216), NOT(ISBLANK(A216)))</formula>
    </cfRule>
  </conditionalFormatting>
  <conditionalFormatting sqref="H217">
    <cfRule type="expression" dxfId="16" priority="238">
      <formula>AND(ISBLANK(C217), NOT(ISBLANK(A217)))</formula>
    </cfRule>
  </conditionalFormatting>
  <conditionalFormatting sqref="H218">
    <cfRule type="expression" dxfId="15" priority="242">
      <formula>AND(ISBLANK(C218), NOT(ISBLANK(A218)))</formula>
    </cfRule>
  </conditionalFormatting>
  <conditionalFormatting sqref="H219">
    <cfRule type="expression" dxfId="14" priority="246">
      <formula>AND(ISBLANK(C219), NOT(ISBLANK(A219)))</formula>
    </cfRule>
  </conditionalFormatting>
  <conditionalFormatting sqref="H220">
    <cfRule type="expression" dxfId="13" priority="250">
      <formula>AND(ISBLANK(C220), NOT(ISBLANK(A220)))</formula>
    </cfRule>
  </conditionalFormatting>
  <conditionalFormatting sqref="H221">
    <cfRule type="expression" dxfId="12" priority="254">
      <formula>AND(ISBLANK(C221), NOT(ISBLANK(A221)))</formula>
    </cfRule>
  </conditionalFormatting>
  <conditionalFormatting sqref="H222">
    <cfRule type="expression" dxfId="11" priority="258">
      <formula>AND(ISBLANK(C222), NOT(ISBLANK(A222)))</formula>
    </cfRule>
  </conditionalFormatting>
  <conditionalFormatting sqref="H223">
    <cfRule type="expression" dxfId="10" priority="262">
      <formula>AND(ISBLANK(C223), NOT(ISBLANK(A223)))</formula>
    </cfRule>
  </conditionalFormatting>
  <conditionalFormatting sqref="H224">
    <cfRule type="expression" dxfId="9" priority="266">
      <formula>AND(ISBLANK(C224), NOT(ISBLANK(A224)))</formula>
    </cfRule>
  </conditionalFormatting>
  <conditionalFormatting sqref="H225">
    <cfRule type="expression" dxfId="8" priority="270">
      <formula>AND(ISBLANK(C225), NOT(ISBLANK(A225)))</formula>
    </cfRule>
  </conditionalFormatting>
  <conditionalFormatting sqref="H226">
    <cfRule type="expression" dxfId="7" priority="274">
      <formula>AND(ISBLANK(C226), NOT(ISBLANK(A226)))</formula>
    </cfRule>
  </conditionalFormatting>
  <conditionalFormatting sqref="H227">
    <cfRule type="expression" dxfId="6" priority="278">
      <formula>AND(ISBLANK(C227), NOT(ISBLANK(A227)))</formula>
    </cfRule>
  </conditionalFormatting>
  <conditionalFormatting sqref="H228">
    <cfRule type="expression" dxfId="5" priority="282">
      <formula>AND(ISBLANK(C228), NOT(ISBLANK(A228)))</formula>
    </cfRule>
  </conditionalFormatting>
  <conditionalFormatting sqref="H229">
    <cfRule type="expression" dxfId="4" priority="286">
      <formula>AND(ISBLANK(C229), NOT(ISBLANK(A229)))</formula>
    </cfRule>
  </conditionalFormatting>
  <conditionalFormatting sqref="H230">
    <cfRule type="expression" dxfId="3" priority="290">
      <formula>AND(ISBLANK(C230), NOT(ISBLANK(A230)))</formula>
    </cfRule>
  </conditionalFormatting>
  <conditionalFormatting sqref="H231">
    <cfRule type="expression" dxfId="2" priority="294">
      <formula>AND(ISBLANK(C231), NOT(ISBLANK(A231)))</formula>
    </cfRule>
  </conditionalFormatting>
  <conditionalFormatting sqref="H232">
    <cfRule type="expression" dxfId="1" priority="298">
      <formula>AND(ISBLANK(C232), NOT(ISBLANK(A232)))</formula>
    </cfRule>
  </conditionalFormatting>
  <conditionalFormatting sqref="H233">
    <cfRule type="expression" dxfId="0" priority="302">
      <formula>AND(ISBLANK(C233), NOT(ISBLANK(A233)))</formula>
    </cfRule>
  </conditionalFormatting>
  <dataValidations count="3">
    <dataValidation type="custom" allowBlank="1" showInputMessage="1" showErrorMessage="1" errorTitle="Warning" error="Reference does not exist or Duplicates!" sqref="M7:M8">
      <formula1>AND(COUNTIF($M$7:$M$8,M7)=1, COUNTIF($U$1:$U$116,M7)=1)</formula1>
    </dataValidation>
    <dataValidation type="custom" allowBlank="1" showInputMessage="1" showErrorMessage="1" errorTitle="Warning" error="Reference does not exist!" sqref="E2 E171 E143:E167 E77:E109 E70:E75 E67:E68 E64:E65 E62 E60 E56:E58 E54 E51 E49 E47 E43:E45 E40:E41 E37 E6:E35 E4">
      <formula1>COUNTIF($U$1:$U$116,E2)=1</formula1>
    </dataValidation>
    <dataValidation type="custom" allowBlank="1" showInputMessage="1" showErrorMessage="1" errorTitle="Warning" error="Reference number does not exist or Duplicates!" sqref="C3 C172:C233 C168:C170 C110:C142 C76 C69 C66 C63 C61 C59 C55 C52:C53 C50 C48 C46 C42 C38:C39 C36 C5">
      <formula1>AND(COUNTIF($C$2:$C$233,C3)=1, COUNTIF($U$1:$U$116,C3)=1)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endARow">
                <anchor moveWithCells="1" sizeWithCells="1">
                  <from>
                    <xdr:col>9</xdr:col>
                    <xdr:colOff>0</xdr:colOff>
                    <xdr:row>169</xdr:row>
                    <xdr:rowOff>0</xdr:rowOff>
                  </from>
                  <to>
                    <xdr:col>11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doRow">
                <anchor moveWithCells="1" sizeWithCells="1">
                  <from>
                    <xdr:col>9</xdr:col>
                    <xdr:colOff>0</xdr:colOff>
                    <xdr:row>172</xdr:row>
                    <xdr:rowOff>0</xdr:rowOff>
                  </from>
                  <to>
                    <xdr:col>11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Reference_copying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SHON,ELTON (K-SantaRosa,ex1)</cp:lastModifiedBy>
  <dcterms:created xsi:type="dcterms:W3CDTF">2016-09-16T16:30:33Z</dcterms:created>
  <dcterms:modified xsi:type="dcterms:W3CDTF">2016-09-19T15:59:22Z</dcterms:modified>
</cp:coreProperties>
</file>